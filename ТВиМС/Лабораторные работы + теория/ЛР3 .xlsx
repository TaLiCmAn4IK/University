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окументы\ТВиМС\"/>
    </mc:Choice>
  </mc:AlternateContent>
  <bookViews>
    <workbookView xWindow="0" yWindow="0" windowWidth="17256" windowHeight="6564" activeTab="1"/>
  </bookViews>
  <sheets>
    <sheet name="Лист2" sheetId="5" r:id="rId1"/>
    <sheet name="Задача 1" sheetId="1" r:id="rId2"/>
    <sheet name="Задача 2" sheetId="2" r:id="rId3"/>
    <sheet name="Лист3" sheetId="6" r:id="rId4"/>
    <sheet name="Задача 3" sheetId="3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B35" i="1" l="1"/>
  <c r="B36" i="1"/>
  <c r="B11" i="1" l="1"/>
  <c r="D22" i="2" l="1"/>
  <c r="D23" i="2"/>
  <c r="D21" i="2"/>
  <c r="C27" i="3"/>
  <c r="C26" i="3"/>
  <c r="C25" i="3"/>
  <c r="B10" i="3"/>
  <c r="B14" i="3"/>
  <c r="C10" i="3"/>
  <c r="C12" i="2"/>
  <c r="C13" i="2"/>
  <c r="C10" i="2"/>
  <c r="C11" i="2"/>
  <c r="G13" i="1" l="1"/>
  <c r="G12" i="1"/>
  <c r="G11" i="1"/>
  <c r="B13" i="1"/>
  <c r="B12" i="1"/>
  <c r="D10" i="3" l="1"/>
  <c r="E10" i="3"/>
  <c r="F10" i="3"/>
  <c r="G10" i="3"/>
  <c r="H10" i="3"/>
  <c r="I10" i="3"/>
  <c r="J10" i="3"/>
  <c r="K10" i="3"/>
  <c r="B15" i="3" l="1"/>
  <c r="B17" i="3"/>
  <c r="B16" i="3"/>
</calcChain>
</file>

<file path=xl/sharedStrings.xml><?xml version="1.0" encoding="utf-8"?>
<sst xmlns="http://schemas.openxmlformats.org/spreadsheetml/2006/main" count="119" uniqueCount="65">
  <si>
    <t>Задача 1</t>
  </si>
  <si>
    <t>Исходные данные:</t>
  </si>
  <si>
    <t>Δ (разность)</t>
  </si>
  <si>
    <t>x̄ (среднее)</t>
  </si>
  <si>
    <t>s² (дисперсия)</t>
  </si>
  <si>
    <t>f (степени свободы)</t>
  </si>
  <si>
    <t>Парный двухвыборочный t-тест для средних</t>
  </si>
  <si>
    <t>Среднее</t>
  </si>
  <si>
    <t>Дисперсия</t>
  </si>
  <si>
    <t>Наблюдения</t>
  </si>
  <si>
    <t>Корреляция Пирсона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</si>
  <si>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</si>
  <si>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</si>
  <si>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</si>
  <si>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</si>
  <si>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</si>
  <si>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</si>
  <si>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</si>
  <si>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ВЫВОД:</t>
  </si>
  <si>
    <t>Задача 2</t>
  </si>
  <si>
    <t>Задача 3</t>
  </si>
  <si>
    <t>Статистические характеристики:</t>
  </si>
  <si>
    <t>n (объем выборки)</t>
  </si>
  <si>
    <t>Проверка гипотезы (критерий Стьюдента для парных выборок):</t>
  </si>
  <si>
    <t>i</t>
  </si>
  <si>
    <t>Замер</t>
  </si>
  <si>
    <t>Проверка гипотезы (критерий Стьюдента):</t>
  </si>
  <si>
    <t>t расчётное</t>
  </si>
  <si>
    <t>t табличное (двустороннее)</t>
  </si>
  <si>
    <t>P(T&lt;=t) двустороннее</t>
  </si>
  <si>
    <t>Лабораторная работа 3. Критерий значимости. Вариант 24</t>
  </si>
  <si>
    <t>Контроль А</t>
  </si>
  <si>
    <t>Лекарство В</t>
  </si>
  <si>
    <t>Статистические характеристики для Лекарство В:</t>
  </si>
  <si>
    <t>Статистические характеристики для Контроль А:</t>
  </si>
  <si>
    <t>Проверка гипотезы (t‑критерий Стьюдента для двух независимых выборок):</t>
  </si>
  <si>
    <r>
      <t>H₁: μ</t>
    </r>
    <r>
      <rPr>
        <sz val="8"/>
        <color theme="1"/>
        <rFont val="Calibri"/>
        <family val="2"/>
        <charset val="204"/>
        <scheme val="minor"/>
      </rPr>
      <t>B</t>
    </r>
    <r>
      <rPr>
        <sz val="12"/>
        <color theme="1"/>
        <rFont val="Calibri"/>
        <family val="2"/>
        <charset val="204"/>
        <scheme val="minor"/>
      </rPr>
      <t xml:space="preserve"> &gt; μ</t>
    </r>
    <r>
      <rPr>
        <sz val="8"/>
        <color theme="1"/>
        <rFont val="Calibri"/>
        <family val="2"/>
        <charset val="204"/>
        <scheme val="minor"/>
      </rPr>
      <t>A</t>
    </r>
    <r>
      <rPr>
        <sz val="12"/>
        <color theme="1"/>
        <rFont val="Calibri"/>
        <family val="2"/>
        <charset val="204"/>
        <scheme val="minor"/>
      </rPr>
      <t xml:space="preserve"> (лекарство увеличивает среднюю продолжительность жизни)</t>
    </r>
  </si>
  <si>
    <r>
      <t>H₀: μ</t>
    </r>
    <r>
      <rPr>
        <sz val="8"/>
        <color theme="1"/>
        <rFont val="Calibri"/>
        <family val="2"/>
        <charset val="204"/>
        <scheme val="minor"/>
      </rPr>
      <t>B</t>
    </r>
    <r>
      <rPr>
        <sz val="12"/>
        <color theme="1"/>
        <rFont val="Calibri"/>
        <family val="2"/>
        <charset val="204"/>
        <scheme val="minor"/>
      </rPr>
      <t xml:space="preserve"> ≤ μ</t>
    </r>
    <r>
      <rPr>
        <sz val="8"/>
        <color theme="1"/>
        <rFont val="Calibri"/>
        <family val="2"/>
        <charset val="204"/>
        <scheme val="minor"/>
      </rPr>
      <t>A</t>
    </r>
    <r>
      <rPr>
        <sz val="12"/>
        <color theme="1"/>
        <rFont val="Calibri"/>
        <family val="2"/>
        <charset val="204"/>
        <scheme val="minor"/>
      </rPr>
      <t xml:space="preserve"> (лекарство не увеличивает среднюю продолжительность жизни; эффекта нет)</t>
    </r>
  </si>
  <si>
    <t>Уровень значимости: α = 0,05</t>
  </si>
  <si>
    <t>Так как выборки независимые, применяем t‑критерий Стьюдента для двух независимых выборок (предполагая неравные дисперсии)</t>
  </si>
  <si>
    <t>t‑тест для двух независимых выборок</t>
  </si>
  <si>
    <t>Контроль A</t>
  </si>
  <si>
    <t>Лекарство B</t>
  </si>
  <si>
    <t>Двухвыборочный t-тест с различными дисперсиями</t>
  </si>
  <si>
    <t>Переменная 1</t>
  </si>
  <si>
    <t>Переменная 2</t>
  </si>
  <si>
    <t>Размер, мм</t>
  </si>
  <si>
    <t>Номин. Знач.</t>
  </si>
  <si>
    <t xml:space="preserve">H₀: a = 90,018 (средний размер равен номинальному)
H₁: a ≠ 90,018 (средний размер отличается от номинального) </t>
  </si>
  <si>
    <t>№ измерений</t>
  </si>
  <si>
    <t>Микрометр 1</t>
  </si>
  <si>
    <t>Микрометр 2</t>
  </si>
  <si>
    <t>Выборка разностей (Микрометр 1 − Микрометр 2):</t>
  </si>
  <si>
    <t>H₀: a₁ = a₂ (средние показания микрометров одинаковы / систематической разницы нет)
H₁: a₁ ≠ a₂ (существует систематическая разница между микрометрами)</t>
  </si>
  <si>
    <t>Микр. 1</t>
  </si>
  <si>
    <t>Микр. 2</t>
  </si>
  <si>
    <t>Так как p-значение (двустороннее) = 0,0584456 больше уровня значимости alpha = 0,05, гипотеза H0 не отвергается (принимается).​
Также |tрасч| = 2,1665 меньше tкр (двустороннее) = 2,2622, следовательно H0 принимается. ​
Заключение:
Статистически значимых различий между результатами измерений диаметра, полученными с помощью двух микрометров, при уровне значимости alpha = 0,05 не обнаружено.​
Средние значения: микрометр 1 — 287,2; микрометр 2 — 280,3; средняя разность (М1 − М2) равна 6,9 деления, однако это отличие статистически незначимо при alpha = 0,05.​
Следовательно, при alpha = 0,05 нет оснований утверждать, что два микрометра дают систематически различающиеся результаты измерений.</t>
  </si>
  <si>
    <t>Поскольку p-значение (двустороннее) = 0,1060 больше уровня значимости α = 0,05, на уровне значимости α = 0,05 гипотеза H₀ НЕ ОТВЕРГАЕТСЯ (ПРИНИМАЕТСЯ).​
(Эквивалентно: |t| = 1,7962 &lt; tкр (двустороннее) = 2,2622 , следовательно H₀ принимается.) ​
Заключение: статистически значимых отличий среднего размера от номинального значения 90,018 мм не обнаружено, т.е. станок в среднем обеспечивает соблюдение номинального размера.​
Средний размер по выборке составляет 90,0139 мм, что отличается от номинала 90,018 мм на 0,0041 мм, однако это отличие статистически незначимо при α = 0,05.</t>
  </si>
  <si>
    <t>Поскольку p-значение (одностороннее) = 0,021996619 меньше уровня значимости α = 0,05, на уровне значимости α = 0,05 гипотеза H₀ ОТВЕРГАЕТСЯ.​
(Эквивалентно: |t| = 2,1988 &gt; tкр (одностороннее) = 1,7531, следовательно H₀ отвергается.) ​
Заключение: наблюдается статистически значимое увеличение средней продолжительности жизни мышей в группе, получавшей лекарство, по сравнению с контрольной группой.​
Средняя продолжительность жизни в контрольной группе A составляет 7,78 дня, а в группе B (лекарство) — 10,50 дня; разность средних составляет 10,50 − 7,78 = 2,72 дня, что статистически значимо при α = 0,05.</t>
  </si>
  <si>
    <t>табл</t>
  </si>
  <si>
    <t>расч</t>
  </si>
  <si>
    <t>Fрасч</t>
  </si>
  <si>
    <t>Fтабл</t>
  </si>
  <si>
    <t>Однородны</t>
  </si>
  <si>
    <r>
      <t>s²</t>
    </r>
    <r>
      <rPr>
        <sz val="8"/>
        <color theme="1"/>
        <rFont val="Calibri"/>
        <family val="2"/>
        <charset val="204"/>
        <scheme val="minor"/>
      </rPr>
      <t>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</si>
</sst>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  <charset val="204"/>
      <scheme val="minor"/>
    </font>
    <font>
      <sz val="12"/>
      <color rgb="FF4D4D4C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4D4D4C"/>
      <name val="Calibri"/>
      <family val="2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 (Основной текст)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8" fillId="0" borderId="0" xfId="0" applyFont="1" applyAlignment="1">
      <alignment horizontal="right"/>
    </xf>
    <xf numFmtId="0" fontId="8" fillId="0" borderId="1" xfId="0" applyFont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left"/>
    </xf>
    <xf numFmtId="2" fontId="3" fillId="0" borderId="1" xfId="0" applyNumberFormat="1" applyFont="1" applyBorder="1"/>
    <xf numFmtId="2" fontId="5" fillId="0" borderId="1" xfId="0" applyNumberFormat="1" applyFont="1" applyBorder="1"/>
    <xf numFmtId="0" fontId="0" fillId="0" borderId="0" xfId="0"/>
    <xf numFmtId="0" fontId="0" fillId="0" borderId="0" xfId="0" applyAlignment="1"/>
    <xf numFmtId="0" fontId="0" fillId="0" borderId="0" xfId="0" applyFill="1" applyBorder="1" applyAlignment="1"/>
    <xf numFmtId="0" fontId="0" fillId="0" borderId="7" xfId="0" applyFill="1" applyBorder="1" applyAlignment="1"/>
    <xf numFmtId="0" fontId="6" fillId="0" borderId="8" xfId="0" applyFont="1" applyFill="1" applyBorder="1" applyAlignment="1">
      <alignment horizontal="center"/>
    </xf>
    <xf numFmtId="0" fontId="0" fillId="0" borderId="1" xfId="0" applyFill="1" applyBorder="1" applyAlignment="1"/>
    <xf numFmtId="0" fontId="8" fillId="0" borderId="0" xfId="0" applyFont="1" applyAlignment="1"/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0" borderId="5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9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8" fillId="0" borderId="3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0" fontId="4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G13" sqref="G13"/>
    </sheetView>
  </sheetViews>
  <sheetFormatPr defaultRowHeight="15.6"/>
  <sheetData>
    <row r="1" spans="1:3">
      <c r="A1" t="s">
        <v>43</v>
      </c>
    </row>
    <row r="2" spans="1:3" ht="16.2" thickBot="1"/>
    <row r="3" spans="1:3">
      <c r="A3" s="28"/>
      <c r="B3" s="28" t="s">
        <v>44</v>
      </c>
      <c r="C3" s="28" t="s">
        <v>45</v>
      </c>
    </row>
    <row r="4" spans="1:3">
      <c r="A4" s="26" t="s">
        <v>7</v>
      </c>
      <c r="B4" s="29">
        <v>7.7777777777777777</v>
      </c>
      <c r="C4" s="26">
        <v>10.5</v>
      </c>
    </row>
    <row r="5" spans="1:3">
      <c r="A5" s="26" t="s">
        <v>8</v>
      </c>
      <c r="B5" s="29">
        <v>3.9444444444444429</v>
      </c>
      <c r="C5" s="26">
        <v>10.944444444444445</v>
      </c>
    </row>
    <row r="6" spans="1:3">
      <c r="A6" s="26" t="s">
        <v>9</v>
      </c>
      <c r="B6" s="29">
        <v>9</v>
      </c>
      <c r="C6" s="26">
        <v>10</v>
      </c>
    </row>
    <row r="7" spans="1:3">
      <c r="A7" s="26" t="s">
        <v>11</v>
      </c>
      <c r="B7" s="29">
        <v>0</v>
      </c>
      <c r="C7" s="26"/>
    </row>
    <row r="8" spans="1:3">
      <c r="A8" s="26" t="s">
        <v>12</v>
      </c>
      <c r="B8" s="29">
        <v>15</v>
      </c>
      <c r="C8" s="26"/>
    </row>
    <row r="9" spans="1:3">
      <c r="A9" s="26" t="s">
        <v>13</v>
      </c>
      <c r="B9" s="29">
        <v>-2.1988354110119515</v>
      </c>
      <c r="C9" s="26"/>
    </row>
    <row r="10" spans="1:3">
      <c r="A10" s="26" t="s">
        <v>14</v>
      </c>
      <c r="B10" s="29">
        <v>2.1996618525127985E-2</v>
      </c>
      <c r="C10" s="26"/>
    </row>
    <row r="11" spans="1:3">
      <c r="A11" s="26" t="s">
        <v>15</v>
      </c>
      <c r="B11" s="29">
        <v>1.7530503556925723</v>
      </c>
      <c r="C11" s="26"/>
    </row>
    <row r="12" spans="1:3">
      <c r="A12" s="26" t="s">
        <v>16</v>
      </c>
      <c r="B12" s="29">
        <v>4.3993237050255998E-2</v>
      </c>
      <c r="C12" s="26"/>
    </row>
    <row r="13" spans="1:3" ht="16.2" thickBot="1">
      <c r="A13" s="27" t="s">
        <v>17</v>
      </c>
      <c r="B13" s="29">
        <v>2.1314495455597742</v>
      </c>
      <c r="C13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abSelected="1" zoomScale="70" zoomScaleNormal="70" workbookViewId="0">
      <selection activeCell="J18" sqref="J18"/>
    </sheetView>
  </sheetViews>
  <sheetFormatPr defaultColWidth="11.19921875" defaultRowHeight="15.6"/>
  <cols>
    <col min="1" max="1" width="29.69921875" customWidth="1"/>
    <col min="2" max="2" width="13.19921875" customWidth="1"/>
    <col min="3" max="3" width="13.69921875" customWidth="1"/>
    <col min="7" max="7" width="11.19921875" customWidth="1"/>
    <col min="8" max="8" width="13.796875" customWidth="1"/>
    <col min="9" max="9" width="10.796875" customWidth="1"/>
  </cols>
  <sheetData>
    <row r="1" spans="1:16" ht="21">
      <c r="A1" s="41" t="s">
        <v>30</v>
      </c>
      <c r="B1" s="42"/>
      <c r="C1" s="42"/>
      <c r="D1" s="42"/>
      <c r="E1" s="42"/>
      <c r="F1" s="42"/>
      <c r="G1" s="42"/>
      <c r="H1" s="42"/>
    </row>
    <row r="2" spans="1:16" ht="21">
      <c r="A2" s="43" t="s">
        <v>0</v>
      </c>
      <c r="B2" s="44"/>
      <c r="C2" s="44"/>
      <c r="D2" s="44"/>
      <c r="E2" s="44"/>
      <c r="F2" s="44"/>
      <c r="G2" s="44"/>
      <c r="H2" s="44"/>
    </row>
    <row r="4" spans="1:16">
      <c r="A4" s="34" t="s">
        <v>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24"/>
      <c r="M4" s="24"/>
      <c r="N4" s="24"/>
      <c r="O4" s="24"/>
      <c r="P4" s="24"/>
    </row>
    <row r="5" spans="1:16">
      <c r="A5" s="2" t="s">
        <v>24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4"/>
      <c r="M5" s="24"/>
      <c r="N5" s="24"/>
      <c r="O5" s="24"/>
      <c r="P5" s="24"/>
    </row>
    <row r="6" spans="1:16">
      <c r="A6" s="3" t="s">
        <v>31</v>
      </c>
      <c r="B6" s="3">
        <v>5</v>
      </c>
      <c r="C6" s="3">
        <v>6</v>
      </c>
      <c r="D6" s="3">
        <v>7</v>
      </c>
      <c r="E6" s="3">
        <v>7</v>
      </c>
      <c r="F6" s="3">
        <v>8</v>
      </c>
      <c r="G6" s="3">
        <v>8</v>
      </c>
      <c r="H6" s="3">
        <v>8</v>
      </c>
      <c r="I6" s="3">
        <v>9</v>
      </c>
      <c r="J6" s="3">
        <v>12</v>
      </c>
      <c r="K6" s="3"/>
      <c r="L6" s="24"/>
      <c r="M6" s="24"/>
      <c r="N6" s="24"/>
      <c r="O6" s="24"/>
      <c r="P6" s="24"/>
    </row>
    <row r="7" spans="1:16">
      <c r="A7" s="3" t="s">
        <v>32</v>
      </c>
      <c r="B7" s="3">
        <v>7</v>
      </c>
      <c r="C7" s="3">
        <v>8</v>
      </c>
      <c r="D7" s="3">
        <v>8</v>
      </c>
      <c r="E7" s="3">
        <v>8</v>
      </c>
      <c r="F7" s="3">
        <v>9</v>
      </c>
      <c r="G7" s="3">
        <v>9</v>
      </c>
      <c r="H7" s="3">
        <v>12</v>
      </c>
      <c r="I7" s="3">
        <v>13</v>
      </c>
      <c r="J7" s="3">
        <v>14</v>
      </c>
      <c r="K7" s="3">
        <v>17</v>
      </c>
      <c r="L7" s="24"/>
      <c r="M7" s="24"/>
      <c r="N7" s="24"/>
      <c r="O7" s="24"/>
    </row>
    <row r="10" spans="1:16">
      <c r="A10" s="38" t="s">
        <v>34</v>
      </c>
      <c r="B10" s="40"/>
      <c r="C10" s="11"/>
      <c r="D10" s="38" t="s">
        <v>33</v>
      </c>
      <c r="E10" s="39"/>
      <c r="F10" s="39"/>
      <c r="G10" s="40"/>
      <c r="H10" s="7"/>
    </row>
    <row r="11" spans="1:16">
      <c r="A11" s="3" t="s">
        <v>22</v>
      </c>
      <c r="B11" s="3">
        <f>COUNT(B6:K6)</f>
        <v>9</v>
      </c>
      <c r="C11" s="9"/>
      <c r="D11" s="35" t="s">
        <v>22</v>
      </c>
      <c r="E11" s="36"/>
      <c r="F11" s="37"/>
      <c r="G11" s="3">
        <f>COUNT(B7:K7)</f>
        <v>10</v>
      </c>
    </row>
    <row r="12" spans="1:16">
      <c r="A12" s="3" t="s">
        <v>3</v>
      </c>
      <c r="B12" s="3">
        <f>AVERAGE(B6:K6)</f>
        <v>7.7777777777777777</v>
      </c>
      <c r="D12" s="35" t="s">
        <v>3</v>
      </c>
      <c r="E12" s="36"/>
      <c r="F12" s="37"/>
      <c r="G12" s="3">
        <f>AVERAGE(B7:K7)</f>
        <v>10.5</v>
      </c>
    </row>
    <row r="13" spans="1:16">
      <c r="A13" s="3" t="s">
        <v>4</v>
      </c>
      <c r="B13" s="3">
        <f>_xlfn.VAR.S(B6:K6)</f>
        <v>3.9444444444444429</v>
      </c>
      <c r="D13" s="35" t="s">
        <v>4</v>
      </c>
      <c r="E13" s="36"/>
      <c r="F13" s="37"/>
      <c r="G13" s="3">
        <f>_xlfn.VAR.S(B7:K7)</f>
        <v>10.944444444444445</v>
      </c>
      <c r="H13" s="9"/>
    </row>
    <row r="14" spans="1:16">
      <c r="A14" s="24"/>
      <c r="B14" s="24"/>
      <c r="C14" s="24"/>
      <c r="D14" s="24"/>
      <c r="E14" s="24"/>
      <c r="F14" s="24"/>
      <c r="G14" s="24"/>
    </row>
    <row r="16" spans="1:16">
      <c r="A16" s="32" t="s">
        <v>35</v>
      </c>
      <c r="B16" s="32"/>
      <c r="C16" s="32"/>
      <c r="D16" s="32"/>
    </row>
    <row r="17" spans="1:10">
      <c r="A17" s="32" t="s">
        <v>37</v>
      </c>
      <c r="B17" s="32"/>
      <c r="C17" s="32"/>
      <c r="D17" s="32"/>
      <c r="E17" s="32"/>
    </row>
    <row r="18" spans="1:10">
      <c r="A18" s="32" t="s">
        <v>36</v>
      </c>
      <c r="B18" s="32"/>
      <c r="C18" s="32"/>
      <c r="D18" s="32"/>
    </row>
    <row r="19" spans="1:10">
      <c r="A19" t="s">
        <v>38</v>
      </c>
    </row>
    <row r="20" spans="1:10">
      <c r="A20" s="24" t="s">
        <v>39</v>
      </c>
    </row>
    <row r="23" spans="1:10">
      <c r="A23" s="32" t="s">
        <v>40</v>
      </c>
      <c r="B23" s="32"/>
      <c r="C23" s="24"/>
    </row>
    <row r="24" spans="1:10">
      <c r="A24" s="8"/>
      <c r="B24" s="8" t="s">
        <v>41</v>
      </c>
      <c r="C24" s="8" t="s">
        <v>42</v>
      </c>
    </row>
    <row r="25" spans="1:10" ht="16.05" customHeight="1">
      <c r="A25" s="29" t="s">
        <v>7</v>
      </c>
      <c r="B25" s="29">
        <v>7.7777777777777777</v>
      </c>
      <c r="C25" s="29">
        <v>10.5</v>
      </c>
      <c r="J25" s="31"/>
    </row>
    <row r="26" spans="1:10" ht="16.05" customHeight="1">
      <c r="A26" s="29" t="s">
        <v>8</v>
      </c>
      <c r="B26" s="29">
        <v>3.9444444444444429</v>
      </c>
      <c r="C26" s="29">
        <v>10.944444444444445</v>
      </c>
    </row>
    <row r="27" spans="1:10">
      <c r="A27" s="29" t="s">
        <v>9</v>
      </c>
      <c r="B27" s="29">
        <v>9</v>
      </c>
      <c r="C27" s="29">
        <v>10</v>
      </c>
    </row>
    <row r="28" spans="1:10">
      <c r="A28" s="29" t="s">
        <v>11</v>
      </c>
      <c r="B28" s="29">
        <v>0</v>
      </c>
      <c r="C28" s="29"/>
    </row>
    <row r="29" spans="1:10">
      <c r="A29" s="29" t="s">
        <v>12</v>
      </c>
      <c r="B29" s="29">
        <v>15</v>
      </c>
      <c r="C29" s="29"/>
    </row>
    <row r="30" spans="1:10">
      <c r="A30" s="29" t="s">
        <v>13</v>
      </c>
      <c r="B30" s="29">
        <v>-2.1988354110119515</v>
      </c>
      <c r="C30" s="29"/>
      <c r="D30" t="s">
        <v>59</v>
      </c>
    </row>
    <row r="31" spans="1:10">
      <c r="A31" s="29" t="s">
        <v>14</v>
      </c>
      <c r="B31" s="29">
        <v>2.1996618525127985E-2</v>
      </c>
      <c r="C31" s="29"/>
    </row>
    <row r="32" spans="1:10">
      <c r="A32" s="29" t="s">
        <v>15</v>
      </c>
      <c r="B32" s="29">
        <v>1.7530503556925723</v>
      </c>
      <c r="C32" s="29"/>
      <c r="D32" t="s">
        <v>60</v>
      </c>
    </row>
    <row r="33" spans="1:10">
      <c r="A33" s="29" t="s">
        <v>16</v>
      </c>
      <c r="B33" s="29">
        <v>4.3993237050255998E-2</v>
      </c>
      <c r="C33" s="29"/>
    </row>
    <row r="34" spans="1:10">
      <c r="A34" s="29" t="s">
        <v>17</v>
      </c>
      <c r="B34" s="29">
        <v>2.1314495455597742</v>
      </c>
      <c r="C34" s="29"/>
      <c r="E34" s="3" t="s">
        <v>64</v>
      </c>
      <c r="F34" s="3">
        <f>(($B$27-1)*$B$26+($C$27-1)*$C$26)/($B$27+$C$27-2)</f>
        <v>7.6503267973856204</v>
      </c>
    </row>
    <row r="35" spans="1:10">
      <c r="A35" s="29" t="s">
        <v>61</v>
      </c>
      <c r="B35" s="3">
        <f>MAX($B$26,$C$26)/MIN($B$26,$C$26)</f>
        <v>2.7746478873239449</v>
      </c>
      <c r="C35" s="3"/>
    </row>
    <row r="36" spans="1:10">
      <c r="A36" s="29" t="s">
        <v>62</v>
      </c>
      <c r="B36" s="3">
        <f>_xlfn.F.INV.RT(0.05/2,IF($C$26&gt;$B$26,$C$27-1,$B$27-1),IF($C$26&gt;$B$26,$B$27-1,$C$27-1))</f>
        <v>4.3572330649602122</v>
      </c>
      <c r="C36" s="3"/>
      <c r="E36" t="s">
        <v>63</v>
      </c>
    </row>
    <row r="37" spans="1:10" ht="15.6" customHeight="1">
      <c r="A37" s="24" t="s">
        <v>18</v>
      </c>
      <c r="B37" s="24"/>
      <c r="C37" s="24"/>
      <c r="D37" s="24"/>
      <c r="E37" s="24"/>
      <c r="F37" s="24"/>
    </row>
    <row r="38" spans="1:10">
      <c r="A38" s="33" t="s">
        <v>58</v>
      </c>
      <c r="B38" s="33"/>
      <c r="C38" s="33"/>
      <c r="D38" s="33"/>
      <c r="E38" s="33"/>
      <c r="F38" s="33"/>
      <c r="G38" s="33"/>
      <c r="H38" s="33"/>
      <c r="I38" s="33"/>
      <c r="J38" s="33"/>
    </row>
    <row r="39" spans="1:10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 spans="1:10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 spans="1:10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 spans="1:10" ht="15.6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 spans="1:10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 spans="1:10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 spans="1:10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 spans="1:10" ht="16.0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 spans="1:10">
      <c r="A47" s="25"/>
      <c r="B47" s="25"/>
      <c r="C47" s="25"/>
      <c r="D47" s="25"/>
      <c r="E47" s="25"/>
      <c r="F47" s="25"/>
      <c r="G47" s="4"/>
    </row>
    <row r="48" spans="1:10">
      <c r="A48" s="25"/>
      <c r="B48" s="25"/>
      <c r="C48" s="25"/>
      <c r="D48" s="25"/>
      <c r="E48" s="25"/>
      <c r="F48" s="25"/>
    </row>
    <row r="49" spans="1:6">
      <c r="A49" s="25"/>
      <c r="B49" s="25"/>
      <c r="C49" s="25"/>
      <c r="D49" s="25"/>
      <c r="E49" s="25"/>
      <c r="F49" s="25"/>
    </row>
    <row r="50" spans="1:6">
      <c r="A50" s="25"/>
      <c r="B50" s="25"/>
      <c r="C50" s="25"/>
      <c r="D50" s="25"/>
      <c r="E50" s="25"/>
      <c r="F50" s="25"/>
    </row>
    <row r="51" spans="1:6">
      <c r="A51" s="25"/>
      <c r="B51" s="25"/>
      <c r="C51" s="25"/>
      <c r="D51" s="25"/>
      <c r="E51" s="25"/>
      <c r="F51" s="25"/>
    </row>
    <row r="52" spans="1:6">
      <c r="A52" s="25"/>
      <c r="B52" s="25"/>
      <c r="C52" s="25"/>
      <c r="D52" s="25"/>
      <c r="E52" s="25"/>
      <c r="F52" s="25"/>
    </row>
    <row r="53" spans="1:6">
      <c r="A53" s="25"/>
      <c r="B53" s="25"/>
      <c r="C53" s="25"/>
      <c r="D53" s="25"/>
      <c r="E53" s="25"/>
      <c r="F53" s="25"/>
    </row>
    <row r="54" spans="1:6">
      <c r="A54" s="25"/>
      <c r="B54" s="25"/>
      <c r="C54" s="25"/>
      <c r="D54" s="25"/>
      <c r="E54" s="25"/>
      <c r="F54" s="25"/>
    </row>
    <row r="55" spans="1:6">
      <c r="A55" s="25"/>
      <c r="B55" s="25"/>
      <c r="C55" s="25"/>
      <c r="D55" s="25"/>
      <c r="E55" s="25"/>
      <c r="F55" s="25"/>
    </row>
    <row r="56" spans="1:6">
      <c r="A56" s="25"/>
      <c r="B56" s="25"/>
      <c r="C56" s="25"/>
      <c r="D56" s="25"/>
      <c r="E56" s="25"/>
      <c r="F56" s="25"/>
    </row>
    <row r="57" spans="1:6">
      <c r="A57" s="25"/>
      <c r="B57" s="25"/>
      <c r="C57" s="25"/>
      <c r="D57" s="25"/>
      <c r="E57" s="25"/>
      <c r="F57" s="25"/>
    </row>
    <row r="58" spans="1:6">
      <c r="A58" s="25"/>
      <c r="B58" s="25"/>
      <c r="C58" s="25"/>
      <c r="D58" s="25"/>
      <c r="E58" s="25"/>
      <c r="F58" s="25"/>
    </row>
    <row r="59" spans="1:6">
      <c r="A59" s="25"/>
      <c r="B59" s="25"/>
      <c r="C59" s="25"/>
      <c r="D59" s="25"/>
      <c r="E59" s="25"/>
      <c r="F59" s="25"/>
    </row>
    <row r="60" spans="1:6">
      <c r="A60" s="25"/>
      <c r="B60" s="25"/>
      <c r="C60" s="25"/>
      <c r="D60" s="25"/>
      <c r="E60" s="25"/>
      <c r="F60" s="25"/>
    </row>
  </sheetData>
  <mergeCells count="14">
    <mergeCell ref="A1:H1"/>
    <mergeCell ref="A2:H2"/>
    <mergeCell ref="A4:H4"/>
    <mergeCell ref="A16:D16"/>
    <mergeCell ref="A17:E17"/>
    <mergeCell ref="A23:B23"/>
    <mergeCell ref="A38:J46"/>
    <mergeCell ref="I4:K4"/>
    <mergeCell ref="D13:F13"/>
    <mergeCell ref="D12:F12"/>
    <mergeCell ref="D11:F11"/>
    <mergeCell ref="D10:G10"/>
    <mergeCell ref="A10:B10"/>
    <mergeCell ref="A18:D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zoomScale="85" zoomScaleNormal="85" workbookViewId="0">
      <selection activeCell="I22" sqref="I22"/>
    </sheetView>
  </sheetViews>
  <sheetFormatPr defaultColWidth="11.19921875" defaultRowHeight="15.6"/>
  <cols>
    <col min="1" max="1" width="12.296875" customWidth="1"/>
    <col min="3" max="3" width="13" customWidth="1"/>
    <col min="5" max="5" width="15" customWidth="1"/>
  </cols>
  <sheetData>
    <row r="1" spans="1:12" ht="21">
      <c r="A1" s="45" t="s">
        <v>30</v>
      </c>
      <c r="B1" s="46"/>
      <c r="C1" s="46"/>
      <c r="D1" s="46"/>
      <c r="E1" s="46"/>
      <c r="F1" s="46"/>
      <c r="G1" s="46"/>
      <c r="H1" s="46"/>
    </row>
    <row r="2" spans="1:12" ht="21">
      <c r="A2" s="47" t="s">
        <v>19</v>
      </c>
      <c r="B2" s="48"/>
      <c r="C2" s="48"/>
      <c r="D2" s="48"/>
      <c r="E2" s="48"/>
      <c r="F2" s="48"/>
      <c r="G2" s="48"/>
      <c r="H2" s="48"/>
    </row>
    <row r="3" spans="1:12" ht="15.6" customHeight="1">
      <c r="A3" s="57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40"/>
      <c r="L3" s="24"/>
    </row>
    <row r="4" spans="1:12">
      <c r="A4" s="3" t="s">
        <v>25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24"/>
    </row>
    <row r="5" spans="1:12">
      <c r="A5" s="3" t="s">
        <v>46</v>
      </c>
      <c r="B5" s="3">
        <v>90.01</v>
      </c>
      <c r="C5" s="3">
        <v>90.01</v>
      </c>
      <c r="D5" s="3">
        <v>90.012</v>
      </c>
      <c r="E5" s="3">
        <v>90.02</v>
      </c>
      <c r="F5" s="3">
        <v>90.02</v>
      </c>
      <c r="G5" s="3">
        <v>90.01</v>
      </c>
      <c r="H5" s="3">
        <v>90</v>
      </c>
      <c r="I5" s="3">
        <v>90.012</v>
      </c>
      <c r="J5" s="3">
        <v>90.022000000000006</v>
      </c>
      <c r="K5" s="3">
        <v>90.022999999999996</v>
      </c>
      <c r="L5" s="24"/>
    </row>
    <row r="6" spans="1:12">
      <c r="A6" s="10" t="s">
        <v>47</v>
      </c>
      <c r="B6" s="12">
        <v>90.018000000000001</v>
      </c>
      <c r="C6" s="1"/>
      <c r="D6" s="1"/>
      <c r="E6" s="1"/>
      <c r="F6" s="7"/>
      <c r="G6" s="7"/>
      <c r="H6" s="7"/>
    </row>
    <row r="9" spans="1:12">
      <c r="A9" s="56" t="s">
        <v>21</v>
      </c>
      <c r="B9" s="46"/>
      <c r="C9" s="46"/>
    </row>
    <row r="10" spans="1:12">
      <c r="A10" s="24" t="s">
        <v>22</v>
      </c>
      <c r="B10" s="24"/>
      <c r="C10" s="24">
        <f>COUNT(B5:K5)</f>
        <v>10</v>
      </c>
    </row>
    <row r="11" spans="1:12">
      <c r="A11" s="58" t="s">
        <v>3</v>
      </c>
      <c r="B11" s="58"/>
      <c r="C11">
        <f>AVERAGE(B5:K5)</f>
        <v>90.013900000000007</v>
      </c>
      <c r="D11" s="6"/>
      <c r="E11" s="6"/>
    </row>
    <row r="12" spans="1:12">
      <c r="A12" s="50" t="s">
        <v>4</v>
      </c>
      <c r="B12" s="50"/>
      <c r="C12" s="14">
        <f>_xlfn.VAR.S(B5:K5)</f>
        <v>5.2099999999977739E-5</v>
      </c>
    </row>
    <row r="13" spans="1:12">
      <c r="A13" s="33" t="s">
        <v>5</v>
      </c>
      <c r="B13" s="33"/>
      <c r="C13">
        <f>C10-1</f>
        <v>9</v>
      </c>
    </row>
    <row r="15" spans="1:12">
      <c r="D15" s="14"/>
      <c r="E15" s="14"/>
    </row>
    <row r="16" spans="1:12">
      <c r="A16" s="54" t="s">
        <v>26</v>
      </c>
      <c r="B16" s="55"/>
      <c r="C16" s="55"/>
      <c r="D16" s="55"/>
      <c r="E16" s="32"/>
    </row>
    <row r="17" spans="1:8">
      <c r="A17" s="51" t="s">
        <v>48</v>
      </c>
      <c r="B17" s="52"/>
      <c r="C17" s="52"/>
      <c r="D17" s="52"/>
      <c r="E17" s="33"/>
    </row>
    <row r="18" spans="1:8">
      <c r="A18" s="51"/>
      <c r="B18" s="53"/>
      <c r="C18" s="53"/>
      <c r="D18" s="53"/>
      <c r="E18" s="33"/>
    </row>
    <row r="21" spans="1:8">
      <c r="A21" s="33" t="s">
        <v>27</v>
      </c>
      <c r="B21" s="33"/>
      <c r="C21" s="33"/>
      <c r="D21" s="24">
        <f>(C11-$B$6)/SQRT(C12/C10)</f>
        <v>-1.7962426127848801</v>
      </c>
      <c r="E21" s="1"/>
    </row>
    <row r="22" spans="1:8" ht="16.05" customHeight="1">
      <c r="A22" s="32" t="s">
        <v>28</v>
      </c>
      <c r="B22" s="32"/>
      <c r="C22" s="32"/>
      <c r="D22" s="24">
        <f>_xlfn.T.INV.2T(0.05,9)</f>
        <v>2.2621571627982053</v>
      </c>
    </row>
    <row r="23" spans="1:8">
      <c r="A23" s="50" t="s">
        <v>29</v>
      </c>
      <c r="B23" s="50"/>
      <c r="C23" s="50"/>
      <c r="D23">
        <f>_xlfn.T.DIST.2T(ABS(D21),C13)</f>
        <v>0.10601915269202894</v>
      </c>
    </row>
    <row r="25" spans="1:8">
      <c r="A25" s="6"/>
      <c r="B25" s="6"/>
      <c r="C25" s="6"/>
    </row>
    <row r="26" spans="1:8">
      <c r="A26" t="s">
        <v>18</v>
      </c>
    </row>
    <row r="27" spans="1:8">
      <c r="A27" s="49" t="s">
        <v>57</v>
      </c>
      <c r="B27" s="49"/>
      <c r="C27" s="49"/>
      <c r="D27" s="49"/>
      <c r="E27" s="49"/>
      <c r="F27" s="49"/>
      <c r="G27" s="49"/>
      <c r="H27" s="16"/>
    </row>
    <row r="28" spans="1:8">
      <c r="A28" s="49"/>
      <c r="B28" s="49"/>
      <c r="C28" s="49"/>
      <c r="D28" s="49"/>
      <c r="E28" s="49"/>
      <c r="F28" s="49"/>
      <c r="G28" s="49"/>
      <c r="H28" s="16"/>
    </row>
    <row r="29" spans="1:8">
      <c r="A29" s="49"/>
      <c r="B29" s="49"/>
      <c r="C29" s="49"/>
      <c r="D29" s="49"/>
      <c r="E29" s="49"/>
      <c r="F29" s="49"/>
      <c r="G29" s="49"/>
      <c r="H29" s="16"/>
    </row>
    <row r="30" spans="1:8">
      <c r="A30" s="49"/>
      <c r="B30" s="49"/>
      <c r="C30" s="49"/>
      <c r="D30" s="49"/>
      <c r="E30" s="49"/>
      <c r="F30" s="49"/>
      <c r="G30" s="49"/>
      <c r="H30" s="16"/>
    </row>
    <row r="31" spans="1:8">
      <c r="A31" s="49"/>
      <c r="B31" s="49"/>
      <c r="C31" s="49"/>
      <c r="D31" s="49"/>
      <c r="E31" s="49"/>
      <c r="F31" s="49"/>
      <c r="G31" s="49"/>
      <c r="H31" s="16"/>
    </row>
    <row r="32" spans="1:8">
      <c r="A32" s="49"/>
      <c r="B32" s="49"/>
      <c r="C32" s="49"/>
      <c r="D32" s="49"/>
      <c r="E32" s="49"/>
      <c r="F32" s="49"/>
      <c r="G32" s="49"/>
      <c r="H32" s="16"/>
    </row>
    <row r="33" spans="1:8">
      <c r="A33" s="49"/>
      <c r="B33" s="49"/>
      <c r="C33" s="49"/>
      <c r="D33" s="49"/>
      <c r="E33" s="49"/>
      <c r="F33" s="49"/>
      <c r="G33" s="49"/>
      <c r="H33" s="16"/>
    </row>
    <row r="34" spans="1:8">
      <c r="A34" s="49"/>
      <c r="B34" s="49"/>
      <c r="C34" s="49"/>
      <c r="D34" s="49"/>
      <c r="E34" s="49"/>
      <c r="F34" s="49"/>
      <c r="G34" s="49"/>
      <c r="H34" s="16"/>
    </row>
    <row r="35" spans="1:8">
      <c r="A35" s="49"/>
      <c r="B35" s="49"/>
      <c r="C35" s="49"/>
      <c r="D35" s="49"/>
      <c r="E35" s="49"/>
      <c r="F35" s="49"/>
      <c r="G35" s="49"/>
      <c r="H35" s="16"/>
    </row>
    <row r="36" spans="1:8">
      <c r="A36" s="49"/>
      <c r="B36" s="49"/>
      <c r="C36" s="49"/>
      <c r="D36" s="49"/>
      <c r="E36" s="49"/>
      <c r="F36" s="49"/>
      <c r="G36" s="49"/>
      <c r="H36" s="16"/>
    </row>
    <row r="37" spans="1:8">
      <c r="A37" s="49"/>
      <c r="B37" s="49"/>
      <c r="C37" s="49"/>
      <c r="D37" s="49"/>
      <c r="E37" s="49"/>
      <c r="F37" s="49"/>
      <c r="G37" s="49"/>
      <c r="H37" s="16"/>
    </row>
    <row r="38" spans="1:8">
      <c r="A38" s="16"/>
      <c r="B38" s="16"/>
      <c r="C38" s="16"/>
      <c r="D38" s="16"/>
      <c r="E38" s="16"/>
      <c r="F38" s="16"/>
      <c r="G38" s="16"/>
      <c r="H38" s="16"/>
    </row>
    <row r="39" spans="1:8">
      <c r="A39" s="16"/>
      <c r="B39" s="16"/>
      <c r="C39" s="16"/>
      <c r="D39" s="16"/>
      <c r="E39" s="16"/>
      <c r="F39" s="16"/>
      <c r="G39" s="16"/>
      <c r="H39" s="16"/>
    </row>
    <row r="40" spans="1:8">
      <c r="A40" s="16"/>
      <c r="B40" s="16"/>
      <c r="C40" s="16"/>
      <c r="D40" s="16"/>
      <c r="E40" s="16"/>
      <c r="F40" s="16"/>
      <c r="G40" s="16"/>
      <c r="H40" s="16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</sheetData>
  <mergeCells count="13">
    <mergeCell ref="A1:H1"/>
    <mergeCell ref="A2:H2"/>
    <mergeCell ref="A27:G37"/>
    <mergeCell ref="A22:C22"/>
    <mergeCell ref="A23:C23"/>
    <mergeCell ref="A17:E18"/>
    <mergeCell ref="A16:E16"/>
    <mergeCell ref="A21:C21"/>
    <mergeCell ref="A9:C9"/>
    <mergeCell ref="A3:K3"/>
    <mergeCell ref="A11:B11"/>
    <mergeCell ref="A12:B12"/>
    <mergeCell ref="A13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4" sqref="A4:A14"/>
    </sheetView>
  </sheetViews>
  <sheetFormatPr defaultRowHeight="15.6"/>
  <sheetData>
    <row r="1" spans="1:3">
      <c r="A1" t="s">
        <v>6</v>
      </c>
    </row>
    <row r="2" spans="1:3" ht="16.2" thickBot="1"/>
    <row r="3" spans="1:3">
      <c r="A3" s="28"/>
      <c r="B3" s="28" t="s">
        <v>44</v>
      </c>
      <c r="C3" s="28" t="s">
        <v>45</v>
      </c>
    </row>
    <row r="4" spans="1:3">
      <c r="A4" s="26" t="s">
        <v>7</v>
      </c>
      <c r="B4" s="26">
        <v>287.2</v>
      </c>
      <c r="C4" s="26">
        <v>280.3</v>
      </c>
    </row>
    <row r="5" spans="1:3">
      <c r="A5" s="26" t="s">
        <v>8</v>
      </c>
      <c r="B5" s="26">
        <v>39.066666666666663</v>
      </c>
      <c r="C5" s="26">
        <v>56.45555555555557</v>
      </c>
    </row>
    <row r="6" spans="1:3">
      <c r="A6" s="26" t="s">
        <v>9</v>
      </c>
      <c r="B6" s="26">
        <v>10</v>
      </c>
      <c r="C6" s="26">
        <v>10</v>
      </c>
    </row>
    <row r="7" spans="1:3">
      <c r="A7" s="26" t="s">
        <v>10</v>
      </c>
      <c r="B7" s="26">
        <v>-6.2933604420581241E-2</v>
      </c>
      <c r="C7" s="26"/>
    </row>
    <row r="8" spans="1:3">
      <c r="A8" s="26" t="s">
        <v>11</v>
      </c>
      <c r="B8" s="26">
        <v>0</v>
      </c>
      <c r="C8" s="26"/>
    </row>
    <row r="9" spans="1:3">
      <c r="A9" s="26" t="s">
        <v>12</v>
      </c>
      <c r="B9" s="26">
        <v>9</v>
      </c>
      <c r="C9" s="26"/>
    </row>
    <row r="10" spans="1:3">
      <c r="A10" s="26" t="s">
        <v>13</v>
      </c>
      <c r="B10" s="26">
        <v>2.1665002421822197</v>
      </c>
      <c r="C10" s="26"/>
    </row>
    <row r="11" spans="1:3">
      <c r="A11" s="26" t="s">
        <v>14</v>
      </c>
      <c r="B11" s="26">
        <v>2.9222820195002809E-2</v>
      </c>
      <c r="C11" s="26"/>
    </row>
    <row r="12" spans="1:3">
      <c r="A12" s="26" t="s">
        <v>15</v>
      </c>
      <c r="B12" s="26">
        <v>1.8331129326562374</v>
      </c>
      <c r="C12" s="26"/>
    </row>
    <row r="13" spans="1:3">
      <c r="A13" s="26" t="s">
        <v>16</v>
      </c>
      <c r="B13" s="26">
        <v>5.8445640390005618E-2</v>
      </c>
      <c r="C13" s="26"/>
    </row>
    <row r="14" spans="1:3" ht="16.2" thickBot="1">
      <c r="A14" s="27" t="s">
        <v>17</v>
      </c>
      <c r="B14" s="27">
        <v>2.2621571627982053</v>
      </c>
      <c r="C14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11" zoomScale="64" zoomScaleNormal="55" workbookViewId="0">
      <selection activeCell="A44" sqref="A44"/>
    </sheetView>
  </sheetViews>
  <sheetFormatPr defaultColWidth="11.19921875" defaultRowHeight="15.6"/>
  <cols>
    <col min="1" max="1" width="22.296875" customWidth="1"/>
  </cols>
  <sheetData>
    <row r="1" spans="1:12">
      <c r="A1" s="59" t="s">
        <v>30</v>
      </c>
      <c r="B1" s="46"/>
      <c r="C1" s="46"/>
      <c r="D1" s="46"/>
      <c r="E1" s="46"/>
      <c r="F1" s="46"/>
      <c r="G1" s="46"/>
    </row>
    <row r="2" spans="1:12">
      <c r="A2" s="59" t="s">
        <v>20</v>
      </c>
      <c r="B2" s="46"/>
      <c r="C2" s="46"/>
      <c r="D2" s="46"/>
      <c r="E2" s="46"/>
      <c r="F2" s="46"/>
      <c r="G2" s="46"/>
    </row>
    <row r="3" spans="1:12">
      <c r="A3" s="60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25"/>
    </row>
    <row r="4" spans="1:12">
      <c r="A4" s="20" t="s">
        <v>49</v>
      </c>
      <c r="B4" s="20">
        <v>1</v>
      </c>
      <c r="C4" s="20">
        <v>2</v>
      </c>
      <c r="D4" s="20">
        <v>3</v>
      </c>
      <c r="E4" s="20">
        <v>4</v>
      </c>
      <c r="F4" s="20">
        <v>5</v>
      </c>
      <c r="G4" s="20">
        <v>6</v>
      </c>
      <c r="H4" s="20">
        <v>7</v>
      </c>
      <c r="I4" s="20">
        <v>8</v>
      </c>
      <c r="J4" s="20">
        <v>9</v>
      </c>
      <c r="K4" s="20">
        <v>10</v>
      </c>
      <c r="L4" s="25"/>
    </row>
    <row r="5" spans="1:12">
      <c r="A5" s="3" t="s">
        <v>50</v>
      </c>
      <c r="B5" s="3">
        <v>289</v>
      </c>
      <c r="C5" s="3">
        <v>291</v>
      </c>
      <c r="D5" s="3">
        <v>293</v>
      </c>
      <c r="E5" s="3">
        <v>283</v>
      </c>
      <c r="F5" s="3">
        <v>291</v>
      </c>
      <c r="G5" s="3">
        <v>278</v>
      </c>
      <c r="H5" s="3">
        <v>292</v>
      </c>
      <c r="I5" s="3">
        <v>284</v>
      </c>
      <c r="J5" s="3">
        <v>294</v>
      </c>
      <c r="K5" s="3">
        <v>277</v>
      </c>
      <c r="L5" s="25"/>
    </row>
    <row r="6" spans="1:12">
      <c r="A6" s="21" t="s">
        <v>51</v>
      </c>
      <c r="B6" s="12">
        <v>289</v>
      </c>
      <c r="C6" s="12">
        <v>288</v>
      </c>
      <c r="D6" s="12">
        <v>280</v>
      </c>
      <c r="E6" s="12">
        <v>279</v>
      </c>
      <c r="F6" s="12">
        <v>269</v>
      </c>
      <c r="G6" s="12">
        <v>279</v>
      </c>
      <c r="H6" s="12">
        <v>290</v>
      </c>
      <c r="I6" s="12">
        <v>275</v>
      </c>
      <c r="J6" s="12">
        <v>270</v>
      </c>
      <c r="K6" s="12">
        <v>284</v>
      </c>
      <c r="L6" s="25"/>
    </row>
    <row r="7" spans="1:12" ht="16.95" customHeight="1">
      <c r="L7" s="24"/>
    </row>
    <row r="8" spans="1:12">
      <c r="L8" s="24"/>
    </row>
    <row r="9" spans="1:12">
      <c r="A9" s="57" t="s">
        <v>52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24"/>
    </row>
    <row r="10" spans="1:12">
      <c r="A10" s="3" t="s">
        <v>2</v>
      </c>
      <c r="B10" s="3">
        <f t="shared" ref="B10:K10" si="0">B5-B6</f>
        <v>0</v>
      </c>
      <c r="C10" s="3">
        <f t="shared" si="0"/>
        <v>3</v>
      </c>
      <c r="D10" s="3">
        <f t="shared" si="0"/>
        <v>13</v>
      </c>
      <c r="E10" s="3">
        <f t="shared" si="0"/>
        <v>4</v>
      </c>
      <c r="F10" s="3">
        <f t="shared" si="0"/>
        <v>22</v>
      </c>
      <c r="G10" s="3">
        <f t="shared" si="0"/>
        <v>-1</v>
      </c>
      <c r="H10" s="3">
        <f t="shared" si="0"/>
        <v>2</v>
      </c>
      <c r="I10" s="3">
        <f t="shared" si="0"/>
        <v>9</v>
      </c>
      <c r="J10" s="3">
        <f t="shared" si="0"/>
        <v>24</v>
      </c>
      <c r="K10" s="3">
        <f t="shared" si="0"/>
        <v>-7</v>
      </c>
      <c r="L10" s="24"/>
    </row>
    <row r="11" spans="1:12">
      <c r="A11" s="5"/>
      <c r="B11" s="5"/>
      <c r="C11" s="5"/>
      <c r="D11" s="5"/>
      <c r="E11" s="5"/>
      <c r="F11" s="5"/>
      <c r="G11" s="5"/>
      <c r="H11" s="5"/>
    </row>
    <row r="13" spans="1:12">
      <c r="A13" s="62" t="s">
        <v>21</v>
      </c>
      <c r="B13" s="40"/>
    </row>
    <row r="14" spans="1:12">
      <c r="A14" s="13" t="s">
        <v>22</v>
      </c>
      <c r="B14" s="3">
        <f>COUNT(B10:K10)</f>
        <v>10</v>
      </c>
    </row>
    <row r="15" spans="1:12">
      <c r="A15" s="3" t="s">
        <v>3</v>
      </c>
      <c r="B15" s="3">
        <f>AVERAGE(B10:L10)</f>
        <v>6.9</v>
      </c>
      <c r="C15" s="15"/>
    </row>
    <row r="16" spans="1:12">
      <c r="A16" s="13" t="s">
        <v>4</v>
      </c>
      <c r="B16" s="13">
        <f>_xlfn.VAR.S(B10:L10)</f>
        <v>101.43333333333334</v>
      </c>
    </row>
    <row r="17" spans="1:6">
      <c r="A17" s="22" t="s">
        <v>5</v>
      </c>
      <c r="B17" s="23">
        <f>B14-1</f>
        <v>9</v>
      </c>
    </row>
    <row r="18" spans="1:6">
      <c r="C18" s="15"/>
    </row>
    <row r="20" spans="1:6">
      <c r="A20" s="17"/>
      <c r="B20" s="17"/>
    </row>
    <row r="21" spans="1:6">
      <c r="A21" s="63" t="s">
        <v>23</v>
      </c>
      <c r="B21" s="63"/>
      <c r="C21" s="63"/>
      <c r="D21" s="63"/>
      <c r="E21" s="63"/>
      <c r="F21" s="32"/>
    </row>
    <row r="22" spans="1:6">
      <c r="A22" s="67" t="s">
        <v>53</v>
      </c>
      <c r="B22" s="68"/>
      <c r="C22" s="68"/>
      <c r="D22" s="68"/>
      <c r="E22" s="68"/>
      <c r="F22" s="33"/>
    </row>
    <row r="23" spans="1:6">
      <c r="A23" s="68"/>
      <c r="B23" s="68"/>
      <c r="C23" s="68"/>
      <c r="D23" s="68"/>
      <c r="E23" s="68"/>
      <c r="F23" s="33"/>
    </row>
    <row r="24" spans="1:6">
      <c r="A24" s="18"/>
      <c r="B24" s="19"/>
      <c r="C24" s="19"/>
      <c r="D24" s="19"/>
      <c r="E24" s="19"/>
    </row>
    <row r="25" spans="1:6" ht="16.05" customHeight="1">
      <c r="A25" s="64" t="s">
        <v>27</v>
      </c>
      <c r="B25" s="64"/>
      <c r="C25" s="3">
        <f>ABS(B15)/SQRT(B16/B14)</f>
        <v>2.1665002421822197</v>
      </c>
    </row>
    <row r="26" spans="1:6">
      <c r="A26" s="65" t="s">
        <v>28</v>
      </c>
      <c r="B26" s="65"/>
      <c r="C26" s="3">
        <f>_xlfn.T.INV.2T(0.05,B17)</f>
        <v>2.2621571627982053</v>
      </c>
    </row>
    <row r="27" spans="1:6">
      <c r="A27" s="66" t="s">
        <v>29</v>
      </c>
      <c r="B27" s="66"/>
      <c r="C27" s="3">
        <f>_xlfn.T.DIST.2T(C25,B17)</f>
        <v>5.8445640390005618E-2</v>
      </c>
    </row>
    <row r="28" spans="1:6">
      <c r="A28" s="15"/>
      <c r="B28" s="6"/>
    </row>
    <row r="30" spans="1:6">
      <c r="A30" s="32" t="s">
        <v>6</v>
      </c>
      <c r="B30" s="32"/>
      <c r="C30" s="32"/>
    </row>
    <row r="31" spans="1:6">
      <c r="A31" s="8"/>
      <c r="B31" s="8" t="s">
        <v>54</v>
      </c>
      <c r="C31" s="8" t="s">
        <v>55</v>
      </c>
    </row>
    <row r="32" spans="1:6">
      <c r="A32" s="29" t="s">
        <v>7</v>
      </c>
      <c r="B32" s="29">
        <v>287.2</v>
      </c>
      <c r="C32" s="29">
        <v>280.3</v>
      </c>
    </row>
    <row r="33" spans="1:11">
      <c r="A33" s="29" t="s">
        <v>8</v>
      </c>
      <c r="B33" s="29">
        <v>39.066666666666663</v>
      </c>
      <c r="C33" s="29">
        <v>56.45555555555557</v>
      </c>
    </row>
    <row r="34" spans="1:11">
      <c r="A34" s="29" t="s">
        <v>9</v>
      </c>
      <c r="B34" s="29">
        <v>10</v>
      </c>
      <c r="C34" s="29">
        <v>10</v>
      </c>
    </row>
    <row r="35" spans="1:11">
      <c r="A35" s="29" t="s">
        <v>10</v>
      </c>
      <c r="B35" s="29">
        <v>-6.2933604420581241E-2</v>
      </c>
      <c r="C35" s="29"/>
    </row>
    <row r="36" spans="1:11">
      <c r="A36" s="29" t="s">
        <v>11</v>
      </c>
      <c r="B36" s="29">
        <v>0</v>
      </c>
      <c r="C36" s="29"/>
    </row>
    <row r="37" spans="1:11">
      <c r="A37" s="29" t="s">
        <v>12</v>
      </c>
      <c r="B37" s="29">
        <v>9</v>
      </c>
      <c r="C37" s="29"/>
    </row>
    <row r="38" spans="1:11">
      <c r="A38" s="29" t="s">
        <v>13</v>
      </c>
      <c r="B38" s="29">
        <v>2.1665002421822197</v>
      </c>
      <c r="C38" s="29"/>
    </row>
    <row r="39" spans="1:11">
      <c r="A39" s="29" t="s">
        <v>14</v>
      </c>
      <c r="B39" s="29">
        <v>2.9222820195002809E-2</v>
      </c>
      <c r="C39" s="29"/>
    </row>
    <row r="40" spans="1:11">
      <c r="A40" s="29" t="s">
        <v>15</v>
      </c>
      <c r="B40" s="29">
        <v>1.8331129326562374</v>
      </c>
      <c r="C40" s="29"/>
    </row>
    <row r="41" spans="1:11">
      <c r="A41" s="29" t="s">
        <v>16</v>
      </c>
      <c r="B41" s="29">
        <v>5.8445640390005618E-2</v>
      </c>
      <c r="C41" s="29"/>
    </row>
    <row r="42" spans="1:11">
      <c r="A42" s="29" t="s">
        <v>17</v>
      </c>
      <c r="B42" s="29">
        <v>2.2621571627982053</v>
      </c>
      <c r="C42" s="29"/>
    </row>
    <row r="45" spans="1:11">
      <c r="A45" t="s">
        <v>18</v>
      </c>
    </row>
    <row r="46" spans="1:11">
      <c r="A46" s="53" t="s">
        <v>56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spans="1:1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spans="1:1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spans="1:1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 spans="1:1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spans="1:1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spans="1:11" ht="15.6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spans="1:1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spans="1:1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spans="1:1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spans="1:1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</row>
  </sheetData>
  <mergeCells count="12">
    <mergeCell ref="A46:K54"/>
    <mergeCell ref="A1:G1"/>
    <mergeCell ref="A2:G2"/>
    <mergeCell ref="A3:K3"/>
    <mergeCell ref="A13:B13"/>
    <mergeCell ref="A9:K9"/>
    <mergeCell ref="A21:F21"/>
    <mergeCell ref="A25:B25"/>
    <mergeCell ref="A26:B26"/>
    <mergeCell ref="A27:B27"/>
    <mergeCell ref="A22:F23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Лист2</vt:lpstr>
      <vt:lpstr>Задача 1</vt:lpstr>
      <vt:lpstr>Задача 2</vt:lpstr>
      <vt:lpstr>Лист3</vt:lpstr>
      <vt:lpstr>Задача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Вадим Потребко</cp:lastModifiedBy>
  <dcterms:created xsi:type="dcterms:W3CDTF">2025-12-18T20:24:15Z</dcterms:created>
  <dcterms:modified xsi:type="dcterms:W3CDTF">2025-12-29T10:33:10Z</dcterms:modified>
</cp:coreProperties>
</file>