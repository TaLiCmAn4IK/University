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996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2" i="1" l="1"/>
  <c r="F41" i="1"/>
  <c r="F42" i="1"/>
  <c r="F43" i="1"/>
  <c r="F44" i="1"/>
  <c r="F45" i="1"/>
  <c r="F46" i="1"/>
  <c r="G41" i="1"/>
  <c r="G42" i="1"/>
  <c r="G43" i="1"/>
  <c r="G44" i="1"/>
  <c r="G45" i="1"/>
  <c r="G46" i="1"/>
  <c r="B41" i="1"/>
  <c r="B47" i="1" s="1"/>
  <c r="B42" i="1"/>
  <c r="B43" i="1"/>
  <c r="B44" i="1"/>
  <c r="B45" i="1"/>
  <c r="B46" i="1"/>
  <c r="C41" i="1"/>
  <c r="C42" i="1"/>
  <c r="C47" i="1" s="1"/>
  <c r="C43" i="1"/>
  <c r="C44" i="1"/>
  <c r="C45" i="1"/>
  <c r="C46" i="1"/>
  <c r="D41" i="1"/>
  <c r="D47" i="1" s="1"/>
  <c r="D42" i="1"/>
  <c r="D43" i="1"/>
  <c r="D44" i="1"/>
  <c r="D45" i="1"/>
  <c r="D46" i="1"/>
  <c r="E41" i="1"/>
  <c r="E47" i="1" s="1"/>
  <c r="E42" i="1"/>
  <c r="E43" i="1"/>
  <c r="E44" i="1"/>
  <c r="E45" i="1"/>
  <c r="E46" i="1"/>
  <c r="B48" i="1"/>
  <c r="A47" i="1"/>
  <c r="A40" i="1"/>
  <c r="D19" i="1"/>
  <c r="B15" i="1"/>
  <c r="F15" i="1"/>
  <c r="D15" i="1"/>
  <c r="E7" i="1"/>
  <c r="E8" i="1"/>
  <c r="E9" i="1"/>
  <c r="E10" i="1"/>
  <c r="E11" i="1"/>
  <c r="E12" i="1"/>
  <c r="D7" i="1"/>
  <c r="D8" i="1"/>
  <c r="D9" i="1"/>
  <c r="D10" i="1"/>
  <c r="D11" i="1"/>
  <c r="D12" i="1"/>
  <c r="C7" i="1"/>
  <c r="C8" i="1"/>
  <c r="C9" i="1"/>
  <c r="C10" i="1"/>
  <c r="C11" i="1"/>
  <c r="C12" i="1"/>
  <c r="C3" i="1"/>
  <c r="E6" i="1"/>
  <c r="D6" i="1"/>
  <c r="B14" i="1"/>
  <c r="A13" i="1"/>
  <c r="B7" i="1" l="1"/>
  <c r="B13" i="1" s="1"/>
  <c r="B8" i="1"/>
  <c r="B9" i="1"/>
  <c r="B10" i="1"/>
  <c r="B11" i="1"/>
  <c r="B12" i="1"/>
  <c r="A7" i="1"/>
  <c r="A8" i="1"/>
  <c r="A9" i="1"/>
  <c r="A10" i="1"/>
  <c r="A11" i="1"/>
  <c r="A12" i="1"/>
  <c r="B6" i="1"/>
  <c r="A6" i="1"/>
  <c r="B29" i="1" l="1"/>
  <c r="A29" i="1" l="1"/>
  <c r="D29" i="1"/>
  <c r="E40" i="1"/>
  <c r="A41" i="1"/>
  <c r="A42" i="1"/>
  <c r="A43" i="1"/>
  <c r="A44" i="1"/>
  <c r="A45" i="1"/>
  <c r="A46" i="1"/>
  <c r="B40" i="1"/>
  <c r="G40" i="1" l="1"/>
  <c r="C40" i="1"/>
  <c r="F40" i="1"/>
  <c r="D40" i="1"/>
  <c r="E30" i="1"/>
  <c r="E31" i="1"/>
  <c r="E32" i="1"/>
  <c r="E33" i="1"/>
  <c r="E34" i="1"/>
  <c r="E35" i="1"/>
  <c r="D30" i="1"/>
  <c r="D31" i="1"/>
  <c r="D32" i="1"/>
  <c r="D33" i="1"/>
  <c r="D34" i="1"/>
  <c r="D35" i="1"/>
  <c r="E29" i="1"/>
  <c r="A30" i="1"/>
  <c r="A31" i="1"/>
  <c r="A32" i="1"/>
  <c r="A33" i="1"/>
  <c r="A34" i="1"/>
  <c r="A35" i="1"/>
  <c r="B30" i="1"/>
  <c r="B31" i="1"/>
  <c r="B32" i="1"/>
  <c r="B33" i="1"/>
  <c r="B34" i="1"/>
  <c r="B35" i="1"/>
  <c r="G47" i="1" l="1"/>
  <c r="F47" i="1"/>
  <c r="D13" i="1"/>
  <c r="C6" i="1"/>
  <c r="E13" i="1" l="1"/>
  <c r="C13" i="1"/>
  <c r="D20" i="1"/>
  <c r="B19" i="1" l="1"/>
  <c r="A19" i="1"/>
  <c r="B20" i="1"/>
  <c r="A20" i="1" l="1"/>
  <c r="A22" i="1" s="1" a="1"/>
  <c r="A22" i="1" l="1"/>
  <c r="B22" i="1"/>
  <c r="A23" i="1"/>
  <c r="B23" i="1"/>
  <c r="D22" i="1" l="1" a="1"/>
  <c r="D23" i="1" l="1"/>
  <c r="D22" i="1"/>
  <c r="C53" i="1"/>
  <c r="B54" i="1"/>
  <c r="C54" i="1"/>
  <c r="C52" i="1"/>
  <c r="A54" i="1"/>
  <c r="B53" i="1"/>
  <c r="A53" i="1"/>
  <c r="B52" i="1"/>
  <c r="A52" i="1"/>
  <c r="A56" i="1" a="1"/>
  <c r="A56" i="1" s="1"/>
  <c r="C57" i="1" l="1"/>
  <c r="B58" i="1"/>
  <c r="A58" i="1"/>
  <c r="B56" i="1"/>
  <c r="C58" i="1"/>
  <c r="B57" i="1"/>
  <c r="C56" i="1"/>
  <c r="A57" i="1"/>
  <c r="E54" i="1"/>
  <c r="E53" i="1"/>
  <c r="E52" i="1"/>
  <c r="E56" i="1" a="1"/>
  <c r="E58" i="1" s="1"/>
  <c r="E56" i="1" l="1"/>
  <c r="E57" i="1"/>
</calcChain>
</file>

<file path=xl/sharedStrings.xml><?xml version="1.0" encoding="utf-8"?>
<sst xmlns="http://schemas.openxmlformats.org/spreadsheetml/2006/main" count="38" uniqueCount="36">
  <si>
    <t>xi</t>
  </si>
  <si>
    <t>yi</t>
  </si>
  <si>
    <t>xiyi</t>
  </si>
  <si>
    <t>xi^2</t>
  </si>
  <si>
    <t>yi^2</t>
  </si>
  <si>
    <t>n=</t>
  </si>
  <si>
    <t>r=</t>
  </si>
  <si>
    <t>tрасч=</t>
  </si>
  <si>
    <t>tтабл=</t>
  </si>
  <si>
    <t>Система нормальных уравнений:</t>
  </si>
  <si>
    <t>b0=</t>
  </si>
  <si>
    <t>b1=</t>
  </si>
  <si>
    <t>X</t>
  </si>
  <si>
    <t>Y</t>
  </si>
  <si>
    <t>X = 1/x</t>
  </si>
  <si>
    <t>Y = 1/y</t>
  </si>
  <si>
    <t>Xi=xi</t>
  </si>
  <si>
    <t>XiYi</t>
  </si>
  <si>
    <t>Xi^2</t>
  </si>
  <si>
    <t>Xi^3</t>
  </si>
  <si>
    <t>Xi^4</t>
  </si>
  <si>
    <t>Yi=yi</t>
  </si>
  <si>
    <t>Xi^2Yi</t>
  </si>
  <si>
    <t xml:space="preserve">a = </t>
  </si>
  <si>
    <t xml:space="preserve">b = </t>
  </si>
  <si>
    <t xml:space="preserve">c = </t>
  </si>
  <si>
    <t>Обратная матрица:</t>
  </si>
  <si>
    <t>Коэффициенты квадратичного уравнения регрессии</t>
  </si>
  <si>
    <t>Коэффициенты линейного уравнения регрессии</t>
  </si>
  <si>
    <t xml:space="preserve">Замена переменных, сводящая зависимость к линейной </t>
  </si>
  <si>
    <t>Обратная матрица</t>
  </si>
  <si>
    <t>Выборочное квадратичное уравнение регрессии</t>
  </si>
  <si>
    <t>Исходные данные</t>
  </si>
  <si>
    <t>корреляционное поле:</t>
  </si>
  <si>
    <t>T,град С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</si>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</sst>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/>
    <xf numFmtId="0" fontId="4" fillId="0" borderId="0" xfId="0" applyFont="1"/>
    <xf numFmtId="0" fontId="4" fillId="0" borderId="0" xfId="0" applyFont="1" applyFill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2" borderId="1" xfId="0" applyFont="1" applyFill="1" applyBorder="1"/>
    <xf numFmtId="164" fontId="4" fillId="2" borderId="1" xfId="0" applyNumberFormat="1" applyFont="1" applyFill="1" applyBorder="1"/>
    <xf numFmtId="0" fontId="4" fillId="2" borderId="0" xfId="0" applyFont="1" applyFill="1" applyAlignment="1">
      <alignment horizontal="left" indent="4"/>
    </xf>
    <xf numFmtId="2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left"/>
    </xf>
    <xf numFmtId="0" fontId="6" fillId="0" borderId="0" xfId="0" applyFont="1"/>
    <xf numFmtId="0" fontId="2" fillId="3" borderId="1" xfId="0" applyFont="1" applyFill="1" applyBorder="1"/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1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2" fillId="4" borderId="1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13" xfId="0" applyFont="1" applyFill="1" applyBorder="1"/>
    <xf numFmtId="164" fontId="4" fillId="5" borderId="8" xfId="0" applyNumberFormat="1" applyFont="1" applyFill="1" applyBorder="1"/>
    <xf numFmtId="164" fontId="4" fillId="5" borderId="3" xfId="0" applyNumberFormat="1" applyFont="1" applyFill="1" applyBorder="1"/>
    <xf numFmtId="164" fontId="4" fillId="5" borderId="9" xfId="0" applyNumberFormat="1" applyFont="1" applyFill="1" applyBorder="1"/>
    <xf numFmtId="164" fontId="4" fillId="5" borderId="4" xfId="0" applyNumberFormat="1" applyFont="1" applyFill="1" applyBorder="1"/>
    <xf numFmtId="164" fontId="4" fillId="5" borderId="10" xfId="0" applyNumberFormat="1" applyFont="1" applyFill="1" applyBorder="1"/>
    <xf numFmtId="164" fontId="4" fillId="5" borderId="0" xfId="0" applyNumberFormat="1" applyFont="1" applyFill="1" applyBorder="1"/>
    <xf numFmtId="0" fontId="4" fillId="5" borderId="11" xfId="0" applyFont="1" applyFill="1" applyBorder="1"/>
    <xf numFmtId="164" fontId="4" fillId="5" borderId="5" xfId="0" applyNumberFormat="1" applyFont="1" applyFill="1" applyBorder="1"/>
    <xf numFmtId="0" fontId="4" fillId="5" borderId="12" xfId="0" applyFont="1" applyFill="1" applyBorder="1"/>
    <xf numFmtId="0" fontId="4" fillId="6" borderId="7" xfId="0" applyFont="1" applyFill="1" applyBorder="1"/>
    <xf numFmtId="0" fontId="4" fillId="6" borderId="13" xfId="0" applyFont="1" applyFill="1" applyBorder="1"/>
    <xf numFmtId="0" fontId="4" fillId="6" borderId="8" xfId="0" applyFont="1" applyFill="1" applyBorder="1"/>
    <xf numFmtId="165" fontId="4" fillId="6" borderId="7" xfId="0" applyNumberFormat="1" applyFont="1" applyFill="1" applyBorder="1"/>
    <xf numFmtId="165" fontId="4" fillId="6" borderId="8" xfId="0" applyNumberFormat="1" applyFont="1" applyFill="1" applyBorder="1"/>
    <xf numFmtId="0" fontId="2" fillId="7" borderId="1" xfId="0" applyFont="1" applyFill="1" applyBorder="1"/>
    <xf numFmtId="0" fontId="4" fillId="7" borderId="1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2" fillId="3" borderId="1" xfId="0" applyNumberFormat="1" applyFont="1" applyFill="1" applyBorder="1"/>
    <xf numFmtId="2" fontId="1" fillId="3" borderId="1" xfId="0" applyNumberFormat="1" applyFont="1" applyFill="1" applyBorder="1"/>
    <xf numFmtId="164" fontId="4" fillId="0" borderId="0" xfId="0" applyNumberFormat="1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D4F6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09131770707621E-2"/>
          <c:y val="2.9689608636977057E-2"/>
          <c:w val="0.75875535752728507"/>
          <c:h val="0.850463408673106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523040357320713"/>
                  <c:y val="-0.409858153046864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28239969382451885"/>
                  <c:y val="-0.125070904751887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1" u="none" strike="noStrike" baseline="0">
                        <a:effectLst/>
                      </a:rPr>
                      <a:t>y</a:t>
                    </a:r>
                    <a:r>
                      <a:rPr lang="en-US" sz="900" b="0" i="0" u="none" strike="noStrike" baseline="0">
                        <a:effectLst/>
                      </a:rPr>
                      <a:t>=0,003888</a:t>
                    </a:r>
                    <a:r>
                      <a:rPr lang="en-US" sz="900" b="0" i="1" u="none" strike="noStrike" baseline="0">
                        <a:effectLst/>
                      </a:rPr>
                      <a:t>x</a:t>
                    </a:r>
                    <a:r>
                      <a:rPr lang="en-US" sz="900" b="0" i="0" u="none" strike="noStrike" baseline="0">
                        <a:effectLst/>
                      </a:rPr>
                      <a:t>2−0,1997</a:t>
                    </a:r>
                    <a:r>
                      <a:rPr lang="en-US" sz="900" b="0" i="1" u="none" strike="noStrike" baseline="0">
                        <a:effectLst/>
                      </a:rPr>
                      <a:t>x</a:t>
                    </a:r>
                    <a:r>
                      <a:rPr lang="en-US" sz="900" b="0" i="0" u="none" strike="noStrike" baseline="0">
                        <a:effectLst/>
                      </a:rPr>
                      <a:t>+3,5274</a:t>
                    </a:r>
                    <a:r>
                      <a:rPr lang="en-US" baseline="0"/>
                      <a:t/>
                    </a:r>
                    <a:br>
                      <a:rPr lang="en-US" baseline="0"/>
                    </a:br>
                    <a:r>
                      <a:rPr lang="en-US" baseline="0"/>
                      <a:t>R² = 0,9941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2700" cap="rnd" cmpd="tri">
                <a:solidFill>
                  <a:srgbClr val="FF0000"/>
                </a:solidFill>
                <a:prstDash val="lgDash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21495976010455198"/>
                  <c:y val="-0.52449221005120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0642620583777493"/>
                  <c:y val="-0.28121679497050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22225" cap="rnd">
                <a:solidFill>
                  <a:srgbClr val="7030A0"/>
                </a:solidFill>
                <a:prstDash val="sysDash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4232093192162082"/>
                  <c:y val="-0.456891079737558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Лист1!$A$6:$A$12</c:f>
              <c:numCache>
                <c:formatCode>General</c:formatCode>
                <c:ptCount val="7"/>
                <c:pt idx="0">
                  <c:v>5</c:v>
                </c:pt>
                <c:pt idx="1">
                  <c:v>9.6</c:v>
                </c:pt>
                <c:pt idx="2">
                  <c:v>16</c:v>
                </c:pt>
                <c:pt idx="3">
                  <c:v>19.600000000000001</c:v>
                </c:pt>
                <c:pt idx="4">
                  <c:v>24.4</c:v>
                </c:pt>
                <c:pt idx="5">
                  <c:v>29.8</c:v>
                </c:pt>
                <c:pt idx="6">
                  <c:v>34.4</c:v>
                </c:pt>
              </c:numCache>
            </c:numRef>
          </c:xVal>
          <c:yVal>
            <c:numRef>
              <c:f>Лист1!$B$6:$B$12</c:f>
              <c:numCache>
                <c:formatCode>General</c:formatCode>
                <c:ptCount val="7"/>
                <c:pt idx="0">
                  <c:v>2.6</c:v>
                </c:pt>
                <c:pt idx="1">
                  <c:v>2.0099999999999998</c:v>
                </c:pt>
                <c:pt idx="2">
                  <c:v>1.34</c:v>
                </c:pt>
                <c:pt idx="3">
                  <c:v>1.08</c:v>
                </c:pt>
                <c:pt idx="4">
                  <c:v>0.94</c:v>
                </c:pt>
                <c:pt idx="5">
                  <c:v>1.06</c:v>
                </c:pt>
                <c:pt idx="6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E-4587-B21C-211E568D1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452063"/>
        <c:axId val="889448735"/>
      </c:scatterChart>
      <c:valAx>
        <c:axId val="88945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ru-RU"/>
                  <a:t>град 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9448735"/>
        <c:crosses val="autoZero"/>
        <c:crossBetween val="midCat"/>
      </c:valAx>
      <c:valAx>
        <c:axId val="8894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945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322014843422121"/>
          <c:y val="0.45699950760014801"/>
          <c:w val="0.16175807352995539"/>
          <c:h val="0.41023614921284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aseline="0"/>
              <a:t>Гиперболическая зависимость</a:t>
            </a:r>
            <a:endParaRPr lang="en-US" sz="1200" baseline="0"/>
          </a:p>
          <a:p>
            <a:pPr>
              <a:defRPr/>
            </a:pPr>
            <a:r>
              <a:rPr lang="en-US" sz="1200" baseline="0"/>
              <a:t>y = b0 + b1/x</a:t>
            </a:r>
            <a:r>
              <a:rPr lang="ru-RU" sz="1200" baseline="0"/>
              <a:t> после замены на линейную</a:t>
            </a:r>
            <a:endParaRPr lang="ru-RU" sz="1200"/>
          </a:p>
        </c:rich>
      </c:tx>
      <c:layout>
        <c:manualLayout>
          <c:xMode val="edge"/>
          <c:yMode val="edge"/>
          <c:x val="0.16427581427581425"/>
          <c:y val="5.05050505050505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18410900300664"/>
          <c:y val="0.18944881889763782"/>
          <c:w val="0.82753259013101532"/>
          <c:h val="0.683526153718974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411129481995557E-2"/>
                  <c:y val="0.208007544366970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Лист1!$A$29:$A$35</c:f>
              <c:numCache>
                <c:formatCode>0.000</c:formatCode>
                <c:ptCount val="7"/>
                <c:pt idx="0" formatCode="General">
                  <c:v>0.2</c:v>
                </c:pt>
                <c:pt idx="1">
                  <c:v>0.10416666666666667</c:v>
                </c:pt>
                <c:pt idx="2" formatCode="General">
                  <c:v>6.25E-2</c:v>
                </c:pt>
                <c:pt idx="3">
                  <c:v>5.10204081632653E-2</c:v>
                </c:pt>
                <c:pt idx="4">
                  <c:v>4.0983606557377053E-2</c:v>
                </c:pt>
                <c:pt idx="5">
                  <c:v>3.3557046979865772E-2</c:v>
                </c:pt>
                <c:pt idx="6" formatCode="General">
                  <c:v>2.9069767441860465E-2</c:v>
                </c:pt>
              </c:numCache>
            </c:numRef>
          </c:xVal>
          <c:yVal>
            <c:numRef>
              <c:f>Лист1!$B$29:$B$35</c:f>
              <c:numCache>
                <c:formatCode>General</c:formatCode>
                <c:ptCount val="7"/>
                <c:pt idx="0">
                  <c:v>2.6</c:v>
                </c:pt>
                <c:pt idx="1">
                  <c:v>2.0099999999999998</c:v>
                </c:pt>
                <c:pt idx="2">
                  <c:v>1.34</c:v>
                </c:pt>
                <c:pt idx="3">
                  <c:v>1.08</c:v>
                </c:pt>
                <c:pt idx="4">
                  <c:v>0.94</c:v>
                </c:pt>
                <c:pt idx="5">
                  <c:v>1.06</c:v>
                </c:pt>
                <c:pt idx="6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7-4A93-B39D-89D003175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0399"/>
        <c:axId val="899639151"/>
      </c:scatterChart>
      <c:valAx>
        <c:axId val="89964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639151"/>
        <c:crosses val="autoZero"/>
        <c:crossBetween val="midCat"/>
      </c:valAx>
      <c:valAx>
        <c:axId val="8996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64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Гиперболическая зависимость </a:t>
            </a:r>
            <a:endParaRPr lang="en-US"/>
          </a:p>
          <a:p>
            <a:pPr>
              <a:defRPr/>
            </a:pPr>
            <a:r>
              <a:rPr lang="en-US"/>
              <a:t>y =</a:t>
            </a:r>
            <a:r>
              <a:rPr lang="en-US" baseline="0"/>
              <a:t> 1 / (b0 + b1*x) </a:t>
            </a:r>
            <a:r>
              <a:rPr lang="ru-RU" baseline="0"/>
              <a:t>после замены на линейную</a:t>
            </a:r>
            <a:endParaRPr lang="ru-RU"/>
          </a:p>
        </c:rich>
      </c:tx>
      <c:layout>
        <c:manualLayout>
          <c:xMode val="edge"/>
          <c:yMode val="edge"/>
          <c:x val="0.13339566929133859"/>
          <c:y val="1.40056022408963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21092436974789916"/>
          <c:w val="0.90286351706036749"/>
          <c:h val="0.680773726813560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20013123359586"/>
                  <c:y val="0.22430541770513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Лист1!$D$29:$D$35</c:f>
              <c:numCache>
                <c:formatCode>General</c:formatCode>
                <c:ptCount val="7"/>
                <c:pt idx="0">
                  <c:v>5</c:v>
                </c:pt>
                <c:pt idx="1">
                  <c:v>9.6</c:v>
                </c:pt>
                <c:pt idx="2">
                  <c:v>16</c:v>
                </c:pt>
                <c:pt idx="3">
                  <c:v>19.600000000000001</c:v>
                </c:pt>
                <c:pt idx="4">
                  <c:v>24.4</c:v>
                </c:pt>
                <c:pt idx="5">
                  <c:v>29.8</c:v>
                </c:pt>
                <c:pt idx="6">
                  <c:v>34.4</c:v>
                </c:pt>
              </c:numCache>
            </c:numRef>
          </c:xVal>
          <c:yVal>
            <c:numRef>
              <c:f>Лист1!$E$29:$E$35</c:f>
              <c:numCache>
                <c:formatCode>0.000</c:formatCode>
                <c:ptCount val="7"/>
                <c:pt idx="0">
                  <c:v>0.38461538461538458</c:v>
                </c:pt>
                <c:pt idx="1">
                  <c:v>0.49751243781094534</c:v>
                </c:pt>
                <c:pt idx="2">
                  <c:v>0.74626865671641784</c:v>
                </c:pt>
                <c:pt idx="3">
                  <c:v>0.92592592592592582</c:v>
                </c:pt>
                <c:pt idx="4">
                  <c:v>1.0638297872340425</c:v>
                </c:pt>
                <c:pt idx="5">
                  <c:v>0.94339622641509424</c:v>
                </c:pt>
                <c:pt idx="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B-4A9B-A809-FC02823E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2063"/>
        <c:axId val="899644559"/>
      </c:scatterChart>
      <c:valAx>
        <c:axId val="89964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644559"/>
        <c:crosses val="autoZero"/>
        <c:crossBetween val="midCat"/>
      </c:valAx>
      <c:valAx>
        <c:axId val="8996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964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3</xdr:row>
      <xdr:rowOff>34248</xdr:rowOff>
    </xdr:from>
    <xdr:to>
      <xdr:col>22</xdr:col>
      <xdr:colOff>571500</xdr:colOff>
      <xdr:row>28</xdr:row>
      <xdr:rowOff>91440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466998</xdr:colOff>
      <xdr:row>29</xdr:row>
      <xdr:rowOff>117566</xdr:rowOff>
    </xdr:from>
    <xdr:to>
      <xdr:col>14</xdr:col>
      <xdr:colOff>25038</xdr:colOff>
      <xdr:row>44</xdr:row>
      <xdr:rowOff>33746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91440</xdr:colOff>
      <xdr:row>29</xdr:row>
      <xdr:rowOff>87630</xdr:rowOff>
    </xdr:from>
    <xdr:to>
      <xdr:col>21</xdr:col>
      <xdr:colOff>396240</xdr:colOff>
      <xdr:row>44</xdr:row>
      <xdr:rowOff>64770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zoomScale="70" zoomScaleNormal="70" workbookViewId="0">
      <selection activeCell="K45" sqref="K45"/>
    </sheetView>
  </sheetViews>
  <sheetFormatPr defaultRowHeight="14.4" x14ac:dyDescent="0.3"/>
  <cols>
    <col min="1" max="5" width="12.33203125" customWidth="1"/>
    <col min="6" max="6" width="9.77734375" bestFit="1" customWidth="1"/>
  </cols>
  <sheetData>
    <row r="1" spans="1:15" x14ac:dyDescent="0.3">
      <c r="A1" s="57" t="s">
        <v>32</v>
      </c>
      <c r="B1" s="58"/>
      <c r="C1" s="58"/>
    </row>
    <row r="2" spans="1:15" ht="15.6" x14ac:dyDescent="0.3">
      <c r="A2" s="64" t="s">
        <v>34</v>
      </c>
      <c r="B2" s="16">
        <v>5</v>
      </c>
      <c r="C2" s="16">
        <v>9.6</v>
      </c>
      <c r="D2" s="16">
        <v>16</v>
      </c>
      <c r="E2" s="16">
        <v>19.600000000000001</v>
      </c>
      <c r="F2" s="16">
        <v>24.4</v>
      </c>
      <c r="G2" s="16">
        <v>29.8</v>
      </c>
      <c r="H2" s="16">
        <v>34.4</v>
      </c>
    </row>
    <row r="3" spans="1:15" ht="15.6" x14ac:dyDescent="0.3">
      <c r="A3" s="64" t="s">
        <v>35</v>
      </c>
      <c r="B3" s="16">
        <v>2.6</v>
      </c>
      <c r="C3" s="63">
        <f>2.01</f>
        <v>2.0099999999999998</v>
      </c>
      <c r="D3" s="16">
        <v>1.34</v>
      </c>
      <c r="E3" s="16">
        <v>1.08</v>
      </c>
      <c r="F3" s="16">
        <v>0.94</v>
      </c>
      <c r="G3" s="16">
        <v>1.06</v>
      </c>
      <c r="H3" s="16">
        <v>1.25</v>
      </c>
      <c r="M3" s="15"/>
      <c r="O3" s="15" t="s">
        <v>33</v>
      </c>
    </row>
    <row r="5" spans="1:15" ht="15.6" x14ac:dyDescent="0.3">
      <c r="A5" s="51" t="s">
        <v>0</v>
      </c>
      <c r="B5" s="51" t="s">
        <v>1</v>
      </c>
      <c r="C5" s="51" t="s">
        <v>2</v>
      </c>
      <c r="D5" s="51" t="s">
        <v>3</v>
      </c>
      <c r="E5" s="51" t="s">
        <v>4</v>
      </c>
    </row>
    <row r="6" spans="1:15" ht="15.6" x14ac:dyDescent="0.3">
      <c r="A6" s="16">
        <f>B2</f>
        <v>5</v>
      </c>
      <c r="B6" s="16">
        <f>B3</f>
        <v>2.6</v>
      </c>
      <c r="C6" s="1">
        <f>A6*B6</f>
        <v>13</v>
      </c>
      <c r="D6" s="1">
        <f>POWER(A6,2)</f>
        <v>25</v>
      </c>
      <c r="E6" s="1">
        <f>POWER(B6,2)</f>
        <v>6.7600000000000007</v>
      </c>
    </row>
    <row r="7" spans="1:15" ht="15.6" x14ac:dyDescent="0.3">
      <c r="A7" s="16">
        <f>C2</f>
        <v>9.6</v>
      </c>
      <c r="B7" s="16">
        <f>C3</f>
        <v>2.0099999999999998</v>
      </c>
      <c r="C7" s="1">
        <f t="shared" ref="C7:C12" si="0">A7*B7</f>
        <v>19.295999999999996</v>
      </c>
      <c r="D7" s="1">
        <f t="shared" ref="D7:D12" si="1">POWER(A7,2)</f>
        <v>92.16</v>
      </c>
      <c r="E7" s="1">
        <f t="shared" ref="E7:E12" si="2">POWER(B7,2)</f>
        <v>4.0400999999999989</v>
      </c>
    </row>
    <row r="8" spans="1:15" ht="15.6" x14ac:dyDescent="0.3">
      <c r="A8" s="16">
        <f>D2</f>
        <v>16</v>
      </c>
      <c r="B8" s="16">
        <f>D3</f>
        <v>1.34</v>
      </c>
      <c r="C8" s="1">
        <f t="shared" si="0"/>
        <v>21.44</v>
      </c>
      <c r="D8" s="1">
        <f t="shared" si="1"/>
        <v>256</v>
      </c>
      <c r="E8" s="1">
        <f t="shared" si="2"/>
        <v>1.7956000000000003</v>
      </c>
    </row>
    <row r="9" spans="1:15" ht="15.6" x14ac:dyDescent="0.3">
      <c r="A9" s="16">
        <f>E2</f>
        <v>19.600000000000001</v>
      </c>
      <c r="B9" s="16">
        <f>E3</f>
        <v>1.08</v>
      </c>
      <c r="C9" s="1">
        <f t="shared" si="0"/>
        <v>21.168000000000003</v>
      </c>
      <c r="D9" s="1">
        <f t="shared" si="1"/>
        <v>384.16000000000008</v>
      </c>
      <c r="E9" s="1">
        <f t="shared" si="2"/>
        <v>1.1664000000000001</v>
      </c>
    </row>
    <row r="10" spans="1:15" ht="15.6" x14ac:dyDescent="0.3">
      <c r="A10" s="16">
        <f>F2</f>
        <v>24.4</v>
      </c>
      <c r="B10" s="16">
        <f>F3</f>
        <v>0.94</v>
      </c>
      <c r="C10" s="1">
        <f t="shared" si="0"/>
        <v>22.935999999999996</v>
      </c>
      <c r="D10" s="1">
        <f t="shared" si="1"/>
        <v>595.3599999999999</v>
      </c>
      <c r="E10" s="1">
        <f t="shared" si="2"/>
        <v>0.88359999999999994</v>
      </c>
    </row>
    <row r="11" spans="1:15" ht="15.6" x14ac:dyDescent="0.3">
      <c r="A11" s="16">
        <f>G2</f>
        <v>29.8</v>
      </c>
      <c r="B11" s="16">
        <f>G3</f>
        <v>1.06</v>
      </c>
      <c r="C11" s="1">
        <f t="shared" si="0"/>
        <v>31.588000000000001</v>
      </c>
      <c r="D11" s="1">
        <f t="shared" si="1"/>
        <v>888.04000000000008</v>
      </c>
      <c r="E11" s="1">
        <f t="shared" si="2"/>
        <v>1.1236000000000002</v>
      </c>
    </row>
    <row r="12" spans="1:15" ht="15.6" x14ac:dyDescent="0.3">
      <c r="A12" s="16">
        <f>H2</f>
        <v>34.4</v>
      </c>
      <c r="B12" s="16">
        <f>H3</f>
        <v>1.25</v>
      </c>
      <c r="C12" s="1">
        <f t="shared" si="0"/>
        <v>43</v>
      </c>
      <c r="D12" s="1">
        <f t="shared" si="1"/>
        <v>1183.3599999999999</v>
      </c>
      <c r="E12" s="1">
        <f t="shared" si="2"/>
        <v>1.5625</v>
      </c>
    </row>
    <row r="13" spans="1:15" ht="15.6" x14ac:dyDescent="0.3">
      <c r="A13" s="29">
        <f>SUM(A6:A12)</f>
        <v>138.79999999999998</v>
      </c>
      <c r="B13" s="29">
        <f>SUM(B6:B12)</f>
        <v>10.28</v>
      </c>
      <c r="C13" s="29">
        <f>SUM(C6:C12)</f>
        <v>172.428</v>
      </c>
      <c r="D13" s="29">
        <f>SUM(D6:D12)</f>
        <v>3424.08</v>
      </c>
      <c r="E13" s="29">
        <f>SUM(E6:E12)</f>
        <v>17.331800000000001</v>
      </c>
    </row>
    <row r="14" spans="1:15" x14ac:dyDescent="0.3">
      <c r="A14" s="17" t="s">
        <v>5</v>
      </c>
      <c r="B14" s="18">
        <f>COUNT(A6:A12)</f>
        <v>7</v>
      </c>
    </row>
    <row r="15" spans="1:15" x14ac:dyDescent="0.3">
      <c r="A15" s="13" t="s">
        <v>6</v>
      </c>
      <c r="B15" s="14">
        <f>CORREL(A6:A12,B6:B12)</f>
        <v>-0.81057334127278802</v>
      </c>
      <c r="C15" s="11" t="s">
        <v>7</v>
      </c>
      <c r="D15" s="12">
        <f>ABS(B15)*SQRT((B14-2)/(1-B15^2))</f>
        <v>3.0949148739919776</v>
      </c>
      <c r="E15" s="13" t="s">
        <v>8</v>
      </c>
      <c r="F15" s="12">
        <f>_xlfn.T.INV.2T(0.05,B14-2)</f>
        <v>2.570581835636315</v>
      </c>
    </row>
    <row r="18" spans="1:6" ht="15" thickBot="1" x14ac:dyDescent="0.35">
      <c r="A18" s="53" t="s">
        <v>9</v>
      </c>
      <c r="B18" s="59"/>
      <c r="C18" s="59"/>
    </row>
    <row r="19" spans="1:6" x14ac:dyDescent="0.3">
      <c r="A19" s="32">
        <f>B14</f>
        <v>7</v>
      </c>
      <c r="B19" s="33">
        <f>A13</f>
        <v>138.79999999999998</v>
      </c>
      <c r="C19" s="2"/>
      <c r="D19" s="30">
        <f>B13</f>
        <v>10.28</v>
      </c>
    </row>
    <row r="20" spans="1:6" ht="15" thickBot="1" x14ac:dyDescent="0.35">
      <c r="A20" s="34">
        <f>A13</f>
        <v>138.79999999999998</v>
      </c>
      <c r="B20" s="35">
        <f>D13</f>
        <v>3424.08</v>
      </c>
      <c r="C20" s="2"/>
      <c r="D20" s="31">
        <f>C13</f>
        <v>172.428</v>
      </c>
    </row>
    <row r="21" spans="1:6" ht="15" thickBot="1" x14ac:dyDescent="0.35">
      <c r="A21" s="62" t="s">
        <v>30</v>
      </c>
      <c r="B21" s="62"/>
      <c r="C21" s="60" t="s">
        <v>28</v>
      </c>
      <c r="D21" s="60"/>
      <c r="E21" s="60"/>
      <c r="F21" s="60"/>
    </row>
    <row r="22" spans="1:6" x14ac:dyDescent="0.3">
      <c r="A22" s="19">
        <f t="array" ref="A22:B23">MINVERSE(A19:B20)</f>
        <v>0.72804436204051759</v>
      </c>
      <c r="B22" s="20">
        <v>-2.9512323734031867E-2</v>
      </c>
      <c r="C22" s="3" t="s">
        <v>10</v>
      </c>
      <c r="D22" s="49">
        <f t="array" ref="D22:D23">MMULT(A22:B23,D19:D20)</f>
        <v>2.3955450849648736</v>
      </c>
    </row>
    <row r="23" spans="1:6" ht="15" thickBot="1" x14ac:dyDescent="0.35">
      <c r="A23" s="21">
        <v>-2.9512323734031867E-2</v>
      </c>
      <c r="B23" s="22">
        <v>1.4883736753474285E-3</v>
      </c>
      <c r="C23" s="3" t="s">
        <v>11</v>
      </c>
      <c r="D23" s="50">
        <v>-4.674939189304117E-2</v>
      </c>
    </row>
    <row r="26" spans="1:6" x14ac:dyDescent="0.3">
      <c r="A26" s="53" t="s">
        <v>29</v>
      </c>
      <c r="B26" s="53"/>
      <c r="C26" s="53"/>
      <c r="D26" s="53"/>
      <c r="E26" s="53"/>
    </row>
    <row r="28" spans="1:6" x14ac:dyDescent="0.3">
      <c r="A28" s="52" t="s">
        <v>14</v>
      </c>
      <c r="B28" s="52" t="s">
        <v>13</v>
      </c>
      <c r="D28" s="52" t="s">
        <v>12</v>
      </c>
      <c r="E28" s="52" t="s">
        <v>15</v>
      </c>
    </row>
    <row r="29" spans="1:6" x14ac:dyDescent="0.3">
      <c r="A29" s="9">
        <f>1/A6</f>
        <v>0.2</v>
      </c>
      <c r="B29" s="9">
        <f>B6</f>
        <v>2.6</v>
      </c>
      <c r="D29" s="9">
        <f>A6</f>
        <v>5</v>
      </c>
      <c r="E29" s="10">
        <f t="shared" ref="E29:E35" si="3">1/B6</f>
        <v>0.38461538461538458</v>
      </c>
    </row>
    <row r="30" spans="1:6" x14ac:dyDescent="0.3">
      <c r="A30" s="10">
        <f t="shared" ref="A30:A35" si="4">1/A7</f>
        <v>0.10416666666666667</v>
      </c>
      <c r="B30" s="9">
        <f t="shared" ref="B30:B35" si="5">B7</f>
        <v>2.0099999999999998</v>
      </c>
      <c r="D30" s="9">
        <f t="shared" ref="D30:D35" si="6">A7</f>
        <v>9.6</v>
      </c>
      <c r="E30" s="10">
        <f t="shared" si="3"/>
        <v>0.49751243781094534</v>
      </c>
    </row>
    <row r="31" spans="1:6" x14ac:dyDescent="0.3">
      <c r="A31" s="9">
        <f t="shared" si="4"/>
        <v>6.25E-2</v>
      </c>
      <c r="B31" s="9">
        <f t="shared" si="5"/>
        <v>1.34</v>
      </c>
      <c r="D31" s="9">
        <f t="shared" si="6"/>
        <v>16</v>
      </c>
      <c r="E31" s="10">
        <f t="shared" si="3"/>
        <v>0.74626865671641784</v>
      </c>
    </row>
    <row r="32" spans="1:6" x14ac:dyDescent="0.3">
      <c r="A32" s="10">
        <f t="shared" si="4"/>
        <v>5.10204081632653E-2</v>
      </c>
      <c r="B32" s="9">
        <f t="shared" si="5"/>
        <v>1.08</v>
      </c>
      <c r="D32" s="9">
        <f t="shared" si="6"/>
        <v>19.600000000000001</v>
      </c>
      <c r="E32" s="10">
        <f t="shared" si="3"/>
        <v>0.92592592592592582</v>
      </c>
    </row>
    <row r="33" spans="1:8" x14ac:dyDescent="0.3">
      <c r="A33" s="10">
        <f t="shared" si="4"/>
        <v>4.0983606557377053E-2</v>
      </c>
      <c r="B33" s="9">
        <f t="shared" si="5"/>
        <v>0.94</v>
      </c>
      <c r="D33" s="9">
        <f t="shared" si="6"/>
        <v>24.4</v>
      </c>
      <c r="E33" s="10">
        <f t="shared" si="3"/>
        <v>1.0638297872340425</v>
      </c>
    </row>
    <row r="34" spans="1:8" x14ac:dyDescent="0.3">
      <c r="A34" s="10">
        <f t="shared" si="4"/>
        <v>3.3557046979865772E-2</v>
      </c>
      <c r="B34" s="9">
        <f t="shared" si="5"/>
        <v>1.06</v>
      </c>
      <c r="D34" s="9">
        <f t="shared" si="6"/>
        <v>29.8</v>
      </c>
      <c r="E34" s="10">
        <f t="shared" si="3"/>
        <v>0.94339622641509424</v>
      </c>
    </row>
    <row r="35" spans="1:8" x14ac:dyDescent="0.3">
      <c r="A35" s="9">
        <f t="shared" si="4"/>
        <v>2.9069767441860465E-2</v>
      </c>
      <c r="B35" s="9">
        <f t="shared" si="5"/>
        <v>1.25</v>
      </c>
      <c r="D35" s="9">
        <f t="shared" si="6"/>
        <v>34.4</v>
      </c>
      <c r="E35" s="10">
        <f t="shared" si="3"/>
        <v>0.8</v>
      </c>
    </row>
    <row r="39" spans="1:8" x14ac:dyDescent="0.3">
      <c r="A39" s="52" t="s">
        <v>16</v>
      </c>
      <c r="B39" s="52" t="s">
        <v>18</v>
      </c>
      <c r="C39" s="52" t="s">
        <v>19</v>
      </c>
      <c r="D39" s="52" t="s">
        <v>20</v>
      </c>
      <c r="E39" s="52" t="s">
        <v>21</v>
      </c>
      <c r="F39" s="52" t="s">
        <v>17</v>
      </c>
      <c r="G39" s="52" t="s">
        <v>22</v>
      </c>
      <c r="H39" s="2"/>
    </row>
    <row r="40" spans="1:8" x14ac:dyDescent="0.3">
      <c r="A40" s="23">
        <f>A6</f>
        <v>5</v>
      </c>
      <c r="B40" s="4">
        <f>A40^2</f>
        <v>25</v>
      </c>
      <c r="C40" s="4">
        <f>A40^3</f>
        <v>125</v>
      </c>
      <c r="D40" s="4">
        <f>A40^4</f>
        <v>625</v>
      </c>
      <c r="E40" s="23">
        <f t="shared" ref="E40:E46" si="7">B6</f>
        <v>2.6</v>
      </c>
      <c r="F40" s="4">
        <f>A40*E40</f>
        <v>13</v>
      </c>
      <c r="G40" s="4">
        <f>B40*E40</f>
        <v>65</v>
      </c>
      <c r="H40" s="2"/>
    </row>
    <row r="41" spans="1:8" x14ac:dyDescent="0.3">
      <c r="A41" s="23">
        <f t="shared" ref="A40:A46" si="8">A7</f>
        <v>9.6</v>
      </c>
      <c r="B41" s="4">
        <f t="shared" ref="B41:B46" si="9">A41^2</f>
        <v>92.16</v>
      </c>
      <c r="C41" s="4">
        <f t="shared" ref="C41:C46" si="10">A41^3</f>
        <v>884.73599999999999</v>
      </c>
      <c r="D41" s="4">
        <f t="shared" ref="D41:D46" si="11">A41^4</f>
        <v>8493.4655999999995</v>
      </c>
      <c r="E41" s="23">
        <f t="shared" si="7"/>
        <v>2.0099999999999998</v>
      </c>
      <c r="F41" s="4">
        <f t="shared" ref="F41:F46" si="12">A41*E41</f>
        <v>19.295999999999996</v>
      </c>
      <c r="G41" s="4">
        <f t="shared" ref="G41:G46" si="13">B41*E41</f>
        <v>185.24159999999998</v>
      </c>
      <c r="H41" s="2"/>
    </row>
    <row r="42" spans="1:8" x14ac:dyDescent="0.3">
      <c r="A42" s="23">
        <f t="shared" si="8"/>
        <v>16</v>
      </c>
      <c r="B42" s="4">
        <f t="shared" si="9"/>
        <v>256</v>
      </c>
      <c r="C42" s="4">
        <f t="shared" si="10"/>
        <v>4096</v>
      </c>
      <c r="D42" s="4">
        <f t="shared" si="11"/>
        <v>65536</v>
      </c>
      <c r="E42" s="23">
        <f t="shared" si="7"/>
        <v>1.34</v>
      </c>
      <c r="F42" s="4">
        <f t="shared" si="12"/>
        <v>21.44</v>
      </c>
      <c r="G42" s="4">
        <f t="shared" si="13"/>
        <v>343.04</v>
      </c>
      <c r="H42" s="2"/>
    </row>
    <row r="43" spans="1:8" x14ac:dyDescent="0.3">
      <c r="A43" s="23">
        <f t="shared" si="8"/>
        <v>19.600000000000001</v>
      </c>
      <c r="B43" s="4">
        <f t="shared" si="9"/>
        <v>384.16000000000008</v>
      </c>
      <c r="C43" s="4">
        <f t="shared" si="10"/>
        <v>7529.5360000000019</v>
      </c>
      <c r="D43" s="4">
        <f t="shared" si="11"/>
        <v>147578.90560000006</v>
      </c>
      <c r="E43" s="23">
        <f t="shared" si="7"/>
        <v>1.08</v>
      </c>
      <c r="F43" s="4">
        <f t="shared" si="12"/>
        <v>21.168000000000003</v>
      </c>
      <c r="G43" s="4">
        <f t="shared" si="13"/>
        <v>414.89280000000014</v>
      </c>
      <c r="H43" s="2"/>
    </row>
    <row r="44" spans="1:8" x14ac:dyDescent="0.3">
      <c r="A44" s="23">
        <f t="shared" si="8"/>
        <v>24.4</v>
      </c>
      <c r="B44" s="4">
        <f t="shared" si="9"/>
        <v>595.3599999999999</v>
      </c>
      <c r="C44" s="4">
        <f t="shared" si="10"/>
        <v>14526.783999999996</v>
      </c>
      <c r="D44" s="4">
        <f t="shared" si="11"/>
        <v>354453.52959999989</v>
      </c>
      <c r="E44" s="23">
        <f t="shared" si="7"/>
        <v>0.94</v>
      </c>
      <c r="F44" s="4">
        <f t="shared" si="12"/>
        <v>22.935999999999996</v>
      </c>
      <c r="G44" s="4">
        <f t="shared" si="13"/>
        <v>559.63839999999982</v>
      </c>
      <c r="H44" s="2"/>
    </row>
    <row r="45" spans="1:8" x14ac:dyDescent="0.3">
      <c r="A45" s="23">
        <f t="shared" si="8"/>
        <v>29.8</v>
      </c>
      <c r="B45" s="4">
        <f t="shared" si="9"/>
        <v>888.04000000000008</v>
      </c>
      <c r="C45" s="4">
        <f t="shared" si="10"/>
        <v>26463.592000000004</v>
      </c>
      <c r="D45" s="4">
        <f t="shared" si="11"/>
        <v>788615.04160000011</v>
      </c>
      <c r="E45" s="23">
        <f t="shared" si="7"/>
        <v>1.06</v>
      </c>
      <c r="F45" s="4">
        <f t="shared" si="12"/>
        <v>31.588000000000001</v>
      </c>
      <c r="G45" s="4">
        <f t="shared" si="13"/>
        <v>941.32240000000013</v>
      </c>
      <c r="H45" s="2"/>
    </row>
    <row r="46" spans="1:8" x14ac:dyDescent="0.3">
      <c r="A46" s="23">
        <f t="shared" si="8"/>
        <v>34.4</v>
      </c>
      <c r="B46" s="4">
        <f t="shared" si="9"/>
        <v>1183.3599999999999</v>
      </c>
      <c r="C46" s="4">
        <f t="shared" si="10"/>
        <v>40707.583999999995</v>
      </c>
      <c r="D46" s="4">
        <f t="shared" si="11"/>
        <v>1400340.8895999999</v>
      </c>
      <c r="E46" s="23">
        <f t="shared" si="7"/>
        <v>1.25</v>
      </c>
      <c r="F46" s="4">
        <f t="shared" si="12"/>
        <v>43</v>
      </c>
      <c r="G46" s="4">
        <f t="shared" si="13"/>
        <v>1479.1999999999998</v>
      </c>
      <c r="H46" s="2"/>
    </row>
    <row r="47" spans="1:8" x14ac:dyDescent="0.3">
      <c r="A47" s="4">
        <f>SUM(A40:A46)</f>
        <v>138.79999999999998</v>
      </c>
      <c r="B47" s="5">
        <f>SUM(B40:B46)</f>
        <v>3424.08</v>
      </c>
      <c r="C47" s="5">
        <f>SUM(C40:C46)</f>
        <v>94333.231999999989</v>
      </c>
      <c r="D47" s="5">
        <f>SUM(D40:D46)</f>
        <v>2765642.8319999999</v>
      </c>
      <c r="E47" s="5">
        <f>SUM(E40:E46)</f>
        <v>10.28</v>
      </c>
      <c r="F47" s="4">
        <f>SUM(F40:F46)</f>
        <v>172.428</v>
      </c>
      <c r="G47" s="4">
        <f>SUM(G40:G46)</f>
        <v>3988.3352</v>
      </c>
      <c r="H47" s="2"/>
    </row>
    <row r="48" spans="1:8" x14ac:dyDescent="0.3">
      <c r="A48" s="17" t="s">
        <v>5</v>
      </c>
      <c r="B48" s="18">
        <f>COUNT(A40:A46)</f>
        <v>7</v>
      </c>
      <c r="H48" s="2"/>
    </row>
    <row r="49" spans="1:14" x14ac:dyDescent="0.3">
      <c r="C49" s="2"/>
      <c r="D49" s="2"/>
      <c r="E49" s="2"/>
      <c r="F49" s="2"/>
      <c r="G49" s="2"/>
      <c r="H49" s="2"/>
    </row>
    <row r="50" spans="1:14" x14ac:dyDescent="0.3">
      <c r="A50" s="2"/>
      <c r="B50" s="2"/>
      <c r="C50" s="2"/>
      <c r="D50" s="2"/>
      <c r="E50" s="2"/>
      <c r="F50" s="2"/>
      <c r="G50" s="2"/>
      <c r="H50" s="2"/>
    </row>
    <row r="51" spans="1:14" ht="15" thickBot="1" x14ac:dyDescent="0.35">
      <c r="A51" s="61" t="s">
        <v>9</v>
      </c>
      <c r="B51" s="61"/>
      <c r="C51" s="61"/>
      <c r="D51" s="2"/>
      <c r="E51" s="2"/>
      <c r="F51" s="2"/>
      <c r="G51" s="2"/>
      <c r="H51" s="2"/>
      <c r="I51" s="53" t="s">
        <v>31</v>
      </c>
      <c r="J51" s="53"/>
      <c r="K51" s="53"/>
      <c r="L51" s="53"/>
      <c r="M51" s="53"/>
      <c r="N51" s="53"/>
    </row>
    <row r="52" spans="1:14" x14ac:dyDescent="0.3">
      <c r="A52" s="38">
        <f>D47</f>
        <v>2765642.8319999999</v>
      </c>
      <c r="B52" s="39">
        <f>C47</f>
        <v>94333.231999999989</v>
      </c>
      <c r="C52" s="40">
        <f>B47</f>
        <v>3424.08</v>
      </c>
      <c r="D52" s="6"/>
      <c r="E52" s="30">
        <f>G47</f>
        <v>3988.3352</v>
      </c>
      <c r="F52" s="2"/>
      <c r="G52" s="2"/>
      <c r="H52" s="2"/>
      <c r="I52" s="65" t="str">
        <f>"y = "&amp;ROUND($E$56,6)&amp;"x^2 "&amp;IF($E$57&gt;=0,"+ ", "- ")&amp;ROUND(ABS($E$57),4)&amp;"x "&amp;IF($E$58&gt;=0,"+ ", "- ")&amp;ROUND(ABS($E$58),4)</f>
        <v>y = 0,003888x^2 - 0,1997x + 3,5274</v>
      </c>
      <c r="J52" s="54"/>
      <c r="K52" s="54"/>
      <c r="L52" s="54"/>
      <c r="M52" s="54"/>
      <c r="N52" s="54"/>
    </row>
    <row r="53" spans="1:14" x14ac:dyDescent="0.3">
      <c r="A53" s="41">
        <f>C47</f>
        <v>94333.231999999989</v>
      </c>
      <c r="B53" s="42">
        <f>B47</f>
        <v>3424.08</v>
      </c>
      <c r="C53" s="43">
        <f>A47</f>
        <v>138.79999999999998</v>
      </c>
      <c r="D53" s="6"/>
      <c r="E53" s="36">
        <f>F47</f>
        <v>172.428</v>
      </c>
      <c r="F53" s="2"/>
      <c r="G53" s="2"/>
      <c r="H53" s="2"/>
    </row>
    <row r="54" spans="1:14" ht="15" thickBot="1" x14ac:dyDescent="0.35">
      <c r="A54" s="44">
        <f>B47</f>
        <v>3424.08</v>
      </c>
      <c r="B54" s="45">
        <f>A47</f>
        <v>138.79999999999998</v>
      </c>
      <c r="C54" s="35">
        <f>B48</f>
        <v>7</v>
      </c>
      <c r="D54" s="2"/>
      <c r="E54" s="37">
        <f>E47</f>
        <v>10.28</v>
      </c>
      <c r="F54" s="2"/>
      <c r="G54" s="2"/>
      <c r="H54" s="2"/>
    </row>
    <row r="55" spans="1:14" ht="15" thickBot="1" x14ac:dyDescent="0.35">
      <c r="A55" s="55" t="s">
        <v>26</v>
      </c>
      <c r="B55" s="55"/>
      <c r="C55" s="2"/>
      <c r="D55" s="56" t="s">
        <v>27</v>
      </c>
      <c r="E55" s="56"/>
      <c r="F55" s="56"/>
      <c r="G55" s="56"/>
      <c r="H55" s="56"/>
    </row>
    <row r="56" spans="1:14" x14ac:dyDescent="0.3">
      <c r="A56" s="19">
        <f t="array" ref="A56:C58">MINVERSE(A52:C54)</f>
        <v>1.9854854184729032E-5</v>
      </c>
      <c r="B56" s="24">
        <v>-7.8129926889408262E-4</v>
      </c>
      <c r="C56" s="20">
        <v>5.7799613436645267E-3</v>
      </c>
      <c r="D56" s="7" t="s">
        <v>23</v>
      </c>
      <c r="E56" s="46">
        <f t="array" ref="E56:E58">MMULT(A56:C58,E52:E54)</f>
        <v>3.8879461118245459E-3</v>
      </c>
      <c r="F56" s="6"/>
      <c r="G56" s="2"/>
      <c r="H56" s="2"/>
    </row>
    <row r="57" spans="1:14" x14ac:dyDescent="0.3">
      <c r="A57" s="25">
        <v>-7.8129926889408273E-4</v>
      </c>
      <c r="B57" s="26">
        <v>3.2232923189285792E-2</v>
      </c>
      <c r="C57" s="27">
        <v>-0.25695693400543107</v>
      </c>
      <c r="D57" s="8" t="s">
        <v>24</v>
      </c>
      <c r="E57" s="47">
        <v>-0.1997421777581958</v>
      </c>
      <c r="F57" s="2"/>
      <c r="G57" s="2"/>
      <c r="H57" s="2"/>
    </row>
    <row r="58" spans="1:14" ht="15" thickBot="1" x14ac:dyDescent="0.35">
      <c r="A58" s="21">
        <v>5.7799613436645258E-3</v>
      </c>
      <c r="B58" s="28">
        <v>-0.25695693400543101</v>
      </c>
      <c r="C58" s="22">
        <v>2.4106532003341421</v>
      </c>
      <c r="D58" s="8" t="s">
        <v>25</v>
      </c>
      <c r="E58" s="48">
        <v>3.527367964323048</v>
      </c>
      <c r="F58" s="2"/>
      <c r="G58" s="2"/>
      <c r="H58" s="2"/>
    </row>
  </sheetData>
  <mergeCells count="10">
    <mergeCell ref="I51:N51"/>
    <mergeCell ref="I52:N52"/>
    <mergeCell ref="A55:B55"/>
    <mergeCell ref="D55:H55"/>
    <mergeCell ref="A1:C1"/>
    <mergeCell ref="A26:E26"/>
    <mergeCell ref="A18:C18"/>
    <mergeCell ref="C21:F21"/>
    <mergeCell ref="A51:C51"/>
    <mergeCell ref="A21:B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2025-12-19T12:06:22Z</dcterms:modified>
</cp:coreProperties>
</file>