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Документы\ТВиМС\"/>
    </mc:Choice>
  </mc:AlternateContent>
  <bookViews>
    <workbookView xWindow="0" yWindow="0" windowWidth="17256" windowHeight="5688"/>
  </bookViews>
  <sheets>
    <sheet name="Лист1" sheetId="1" r:id="rId1"/>
  </sheets>
  <definedNames>
    <definedName name="_xlnm.Print_Area" localSheetId="0">Лист1!$A$1:$K$64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6" i="1" l="1"/>
  <c r="E36" i="1"/>
  <c r="C46" i="1"/>
  <c r="C45" i="1"/>
  <c r="C44" i="1"/>
  <c r="C43" i="1"/>
  <c r="C42" i="1"/>
  <c r="C41" i="1"/>
  <c r="C40" i="1"/>
  <c r="B46" i="1"/>
  <c r="B45" i="1"/>
  <c r="B44" i="1"/>
  <c r="B43" i="1"/>
  <c r="B42" i="1"/>
  <c r="B40" i="1"/>
  <c r="C39" i="1"/>
  <c r="B39" i="1"/>
  <c r="A42" i="1"/>
  <c r="A41" i="1"/>
  <c r="A40" i="1"/>
  <c r="A44" i="1"/>
  <c r="A45" i="1"/>
  <c r="A39" i="1"/>
  <c r="G37" i="1"/>
  <c r="E37" i="1"/>
  <c r="G36" i="1"/>
  <c r="D28" i="1"/>
  <c r="D29" i="1"/>
  <c r="D30" i="1"/>
  <c r="D31" i="1"/>
  <c r="D32" i="1"/>
  <c r="E32" i="1" s="1"/>
  <c r="F32" i="1" s="1"/>
  <c r="D33" i="1"/>
  <c r="E33" i="1" s="1"/>
  <c r="F33" i="1" s="1"/>
  <c r="D34" i="1"/>
  <c r="E34" i="1" s="1"/>
  <c r="F34" i="1" s="1"/>
  <c r="E29" i="1"/>
  <c r="F29" i="1" s="1"/>
  <c r="E30" i="1"/>
  <c r="F30" i="1" s="1"/>
  <c r="E31" i="1"/>
  <c r="F31" i="1" s="1"/>
  <c r="D36" i="1" l="1"/>
  <c r="C36" i="1"/>
  <c r="I31" i="1"/>
  <c r="I32" i="1"/>
  <c r="I33" i="1"/>
  <c r="I34" i="1"/>
  <c r="G31" i="1"/>
  <c r="H31" i="1" s="1"/>
  <c r="G32" i="1"/>
  <c r="H32" i="1" s="1"/>
  <c r="G33" i="1"/>
  <c r="H33" i="1" s="1"/>
  <c r="G34" i="1"/>
  <c r="H34" i="1" s="1"/>
  <c r="F28" i="1"/>
  <c r="G28" i="1" s="1"/>
  <c r="I29" i="1"/>
  <c r="G30" i="1"/>
  <c r="H30" i="1" s="1"/>
  <c r="E28" i="1"/>
  <c r="H22" i="1"/>
  <c r="B33" i="1"/>
  <c r="C34" i="1"/>
  <c r="C29" i="1"/>
  <c r="C30" i="1"/>
  <c r="C31" i="1"/>
  <c r="C32" i="1"/>
  <c r="C33" i="1"/>
  <c r="A34" i="1"/>
  <c r="A28" i="1"/>
  <c r="B28" i="1"/>
  <c r="A29" i="1"/>
  <c r="B29" i="1"/>
  <c r="A30" i="1"/>
  <c r="B30" i="1"/>
  <c r="A31" i="1"/>
  <c r="B31" i="1"/>
  <c r="A32" i="1"/>
  <c r="B32" i="1"/>
  <c r="A33" i="1"/>
  <c r="C28" i="1"/>
  <c r="I30" i="1" l="1"/>
  <c r="G29" i="1"/>
  <c r="H29" i="1" s="1"/>
  <c r="D13" i="1" l="1"/>
  <c r="B13" i="1"/>
  <c r="A17" i="1" s="1"/>
  <c r="D12" i="1"/>
  <c r="F13" i="1" l="1"/>
  <c r="C14" i="1" s="1"/>
  <c r="F14" i="1" s="1"/>
  <c r="A18" i="1" l="1"/>
  <c r="B17" i="1"/>
  <c r="B18" i="1"/>
  <c r="A19" i="1"/>
  <c r="D17" i="1" l="1"/>
  <c r="E17" i="1" s="1"/>
  <c r="C17" i="1"/>
  <c r="C18" i="1"/>
  <c r="D18" i="1"/>
  <c r="A20" i="1"/>
  <c r="B19" i="1"/>
  <c r="F17" i="1" l="1"/>
  <c r="D19" i="1"/>
  <c r="E18" i="1"/>
  <c r="C19" i="1"/>
  <c r="A21" i="1"/>
  <c r="B20" i="1"/>
  <c r="E19" i="1" l="1"/>
  <c r="F18" i="1"/>
  <c r="C20" i="1"/>
  <c r="D20" i="1"/>
  <c r="A22" i="1"/>
  <c r="B21" i="1"/>
  <c r="D21" i="1" l="1"/>
  <c r="C21" i="1"/>
  <c r="F19" i="1"/>
  <c r="A23" i="1"/>
  <c r="B22" i="1"/>
  <c r="E20" i="1"/>
  <c r="E21" i="1" l="1"/>
  <c r="D22" i="1"/>
  <c r="B23" i="1"/>
  <c r="D23" i="1" s="1"/>
  <c r="A24" i="1"/>
  <c r="F21" i="1"/>
  <c r="F20" i="1"/>
  <c r="A43" i="1"/>
  <c r="C22" i="1"/>
  <c r="E22" i="1" l="1"/>
  <c r="B24" i="1"/>
  <c r="D24" i="1" s="1"/>
  <c r="C23" i="1"/>
  <c r="F22" i="1"/>
  <c r="E23" i="1" l="1"/>
  <c r="C24" i="1"/>
  <c r="H17" i="1" s="1"/>
  <c r="H20" i="1" l="1"/>
  <c r="H21" i="1" s="1"/>
  <c r="F23" i="1"/>
  <c r="E24" i="1"/>
  <c r="A46" i="1" s="1"/>
  <c r="F24" i="1" l="1"/>
  <c r="H28" i="1" l="1"/>
  <c r="I28" i="1"/>
</calcChain>
</file>

<file path=xl/sharedStrings.xml><?xml version="1.0" encoding="utf-8"?>
<sst xmlns="http://schemas.openxmlformats.org/spreadsheetml/2006/main" count="39" uniqueCount="36">
  <si>
    <t>Исходные данные</t>
  </si>
  <si>
    <t>кол-во интервалов</t>
  </si>
  <si>
    <t xml:space="preserve"> k=</t>
  </si>
  <si>
    <t>min=</t>
  </si>
  <si>
    <t>max=</t>
  </si>
  <si>
    <t>W=</t>
  </si>
  <si>
    <t>длина интервалов</t>
  </si>
  <si>
    <t>округляем</t>
  </si>
  <si>
    <t>h=</t>
  </si>
  <si>
    <t>Интервальный статистический ряд</t>
  </si>
  <si>
    <t>[xi;</t>
  </si>
  <si>
    <t>xi+1)</t>
  </si>
  <si>
    <t>xi*</t>
  </si>
  <si>
    <t>ni</t>
  </si>
  <si>
    <t>ni/n</t>
  </si>
  <si>
    <t>ni/n/h</t>
  </si>
  <si>
    <t>выборочное среднее</t>
  </si>
  <si>
    <t xml:space="preserve"> х-cp=</t>
  </si>
  <si>
    <t>выборочн. дисперсия</t>
  </si>
  <si>
    <t>Dв=</t>
  </si>
  <si>
    <t>s2=</t>
  </si>
  <si>
    <t>s=</t>
  </si>
  <si>
    <t>прооверка гипотезы о законе распределения по критерию Пирсона</t>
  </si>
  <si>
    <t>pi</t>
  </si>
  <si>
    <t>n*pi</t>
  </si>
  <si>
    <t>ni-n*pi</t>
  </si>
  <si>
    <t>(ni-n*pi)^2</t>
  </si>
  <si>
    <t>(ni-n*pi)^2/npi</t>
  </si>
  <si>
    <t>ni^2/npi</t>
  </si>
  <si>
    <t>суммы</t>
  </si>
  <si>
    <t>X2расч=</t>
  </si>
  <si>
    <t>k-r-1=</t>
  </si>
  <si>
    <t>Х1крит=</t>
  </si>
  <si>
    <t>левая гр</t>
  </si>
  <si>
    <t>правая гр</t>
  </si>
  <si>
    <t>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</si>
</sst>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7">
    <xf numFmtId="0" fontId="0" fillId="0" borderId="0" xfId="0"/>
    <xf numFmtId="0" fontId="1" fillId="3" borderId="1" xfId="2" applyBorder="1"/>
    <xf numFmtId="0" fontId="0" fillId="0" borderId="1" xfId="0" applyBorder="1"/>
    <xf numFmtId="0" fontId="1" fillId="4" borderId="1" xfId="3" applyBorder="1"/>
    <xf numFmtId="0" fontId="1" fillId="4" borderId="0" xfId="3"/>
    <xf numFmtId="0" fontId="1" fillId="4" borderId="0" xfId="3" applyBorder="1"/>
    <xf numFmtId="0" fontId="1" fillId="5" borderId="1" xfId="1" applyFill="1" applyBorder="1"/>
    <xf numFmtId="11" fontId="1" fillId="5" borderId="1" xfId="1" applyNumberFormat="1" applyFill="1" applyBorder="1"/>
    <xf numFmtId="0" fontId="1" fillId="6" borderId="1" xfId="2" applyFill="1" applyBorder="1"/>
    <xf numFmtId="0" fontId="0" fillId="3" borderId="1" xfId="2" applyFont="1" applyBorder="1"/>
    <xf numFmtId="0" fontId="0" fillId="0" borderId="3" xfId="0" applyFill="1" applyBorder="1"/>
    <xf numFmtId="0" fontId="0" fillId="0" borderId="0" xfId="0"/>
    <xf numFmtId="0" fontId="0" fillId="4" borderId="0" xfId="3" applyFont="1"/>
    <xf numFmtId="0" fontId="2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</cellXfs>
  <cellStyles count="4">
    <cellStyle name="40% — акцент2" xfId="1" builtinId="35"/>
    <cellStyle name="40% — акцент5" xfId="2" builtinId="47"/>
    <cellStyle name="40% — акцент6" xfId="3" builtinId="5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относительных частот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5061168013185219"/>
          <c:y val="0.18974763406940065"/>
          <c:w val="0.80230177801748115"/>
          <c:h val="0.5715388691555511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Лист1!$F$17:$F$24</c:f>
              <c:numCache>
                <c:formatCode>General</c:formatCode>
                <c:ptCount val="8"/>
                <c:pt idx="0">
                  <c:v>2E-3</c:v>
                </c:pt>
                <c:pt idx="1">
                  <c:v>1.2E-2</c:v>
                </c:pt>
                <c:pt idx="2">
                  <c:v>0.03</c:v>
                </c:pt>
                <c:pt idx="3">
                  <c:v>3.2000000000000001E-2</c:v>
                </c:pt>
                <c:pt idx="4">
                  <c:v>6.2E-2</c:v>
                </c:pt>
                <c:pt idx="5">
                  <c:v>3.5999999999999997E-2</c:v>
                </c:pt>
                <c:pt idx="6">
                  <c:v>1.4000000000000002E-2</c:v>
                </c:pt>
                <c:pt idx="7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A-4C9E-AED1-840FBE0E1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-27"/>
        <c:axId val="1839651823"/>
        <c:axId val="1839654703"/>
        <c:extLst/>
      </c:barChart>
      <c:catAx>
        <c:axId val="183965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середины</a:t>
                </a:r>
                <a:r>
                  <a:rPr lang="ru-RU" baseline="0"/>
                  <a:t> интервалов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9654703"/>
        <c:crosses val="autoZero"/>
        <c:auto val="1"/>
        <c:lblAlgn val="ctr"/>
        <c:lblOffset val="100"/>
        <c:noMultiLvlLbl val="0"/>
      </c:catAx>
      <c:valAx>
        <c:axId val="18396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ni/n/h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965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эмпирическая функция распределения</a:t>
            </a:r>
          </a:p>
        </c:rich>
      </c:tx>
      <c:layout>
        <c:manualLayout>
          <c:xMode val="edge"/>
          <c:yMode val="edge"/>
          <c:x val="0.12476348236949412"/>
          <c:y val="3.17940878017517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F(x)</c:v>
          </c:tx>
          <c:spPr>
            <a:solidFill>
              <a:schemeClr val="bg1"/>
            </a:solidFill>
            <a:ln w="1270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Лист1!$C$17:$C$24</c15:sqref>
                  </c15:fullRef>
                </c:ext>
              </c:extLst>
              <c:f>Лист1!$C$17:$C$24</c:f>
              <c:numCache>
                <c:formatCode>General</c:formatCode>
                <c:ptCount val="8"/>
                <c:pt idx="0">
                  <c:v>11.5</c:v>
                </c:pt>
                <c:pt idx="1">
                  <c:v>16.5</c:v>
                </c:pt>
                <c:pt idx="2">
                  <c:v>21.5</c:v>
                </c:pt>
                <c:pt idx="3">
                  <c:v>26.5</c:v>
                </c:pt>
                <c:pt idx="4">
                  <c:v>31.5</c:v>
                </c:pt>
                <c:pt idx="5">
                  <c:v>36.5</c:v>
                </c:pt>
                <c:pt idx="6">
                  <c:v>41.5</c:v>
                </c:pt>
                <c:pt idx="7">
                  <c:v>46.5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Лист1!$A$38:$A$46</c15:sqref>
                  </c15:fullRef>
                </c:ext>
              </c:extLst>
              <c:f>Лист1!$A$38:$A$45</c:f>
              <c:numCache>
                <c:formatCode>General</c:formatCode>
                <c:ptCount val="8"/>
                <c:pt idx="0">
                  <c:v>0</c:v>
                </c:pt>
                <c:pt idx="1">
                  <c:v>0.01</c:v>
                </c:pt>
                <c:pt idx="2">
                  <c:v>6.9999999999999993E-2</c:v>
                </c:pt>
                <c:pt idx="3">
                  <c:v>0.21999999999999997</c:v>
                </c:pt>
                <c:pt idx="4">
                  <c:v>0.38</c:v>
                </c:pt>
                <c:pt idx="5">
                  <c:v>0.69</c:v>
                </c:pt>
                <c:pt idx="6">
                  <c:v>0.86999999999999988</c:v>
                </c:pt>
                <c:pt idx="7">
                  <c:v>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A-46BE-8345-7AA01649D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839651823"/>
        <c:axId val="1839654703"/>
      </c:barChart>
      <c:catAx>
        <c:axId val="183965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9654703"/>
        <c:crosses val="autoZero"/>
        <c:auto val="1"/>
        <c:lblAlgn val="ctr"/>
        <c:lblOffset val="100"/>
        <c:noMultiLvlLbl val="0"/>
      </c:catAx>
      <c:valAx>
        <c:axId val="18396547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9651823"/>
        <c:crosses val="autoZero"/>
        <c:crossBetween val="between"/>
        <c:majorUnit val="0.1"/>
        <c:min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324984</xdr:colOff>
      <xdr:row>12</xdr:row>
      <xdr:rowOff>7071</xdr:rowOff>
    </xdr:from>
    <xdr:to>
      <xdr:col>15</xdr:col>
      <xdr:colOff>103526</xdr:colOff>
      <xdr:row>25</xdr:row>
      <xdr:rowOff>45170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DA75BE4-B2D2-4887-B29F-22E86A14F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578431</xdr:colOff>
      <xdr:row>37</xdr:row>
      <xdr:rowOff>16112</xdr:rowOff>
    </xdr:from>
    <xdr:to>
      <xdr:col>10</xdr:col>
      <xdr:colOff>372255</xdr:colOff>
      <xdr:row>48</xdr:row>
      <xdr:rowOff>117929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FEECD38-4D0E-4D8E-8FFE-22E1A388D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283603</xdr:colOff>
      <xdr:row>45</xdr:row>
      <xdr:rowOff>47518</xdr:rowOff>
    </xdr:from>
    <xdr:to>
      <xdr:col>5</xdr:col>
      <xdr:colOff>374800</xdr:colOff>
      <xdr:row>45</xdr:row>
      <xdr:rowOff>143096</xdr:rowOff>
    </xdr:to>
    <xdr:sp macro="" textlink="">
      <xdr:nvSpPr>
        <xdr:cNvPr id="5" name="Равнобедренный треугольник 4">
          <a:extLst>
            <a:ext uri="{FF2B5EF4-FFF2-40B4-BE49-F238E27FC236}">
              <a16:creationId xmlns:a16="http://schemas.microsoft.com/office/drawing/2014/main" id="{805E702E-D374-44AF-979E-080A74449CC8}"/>
            </a:ext>
          </a:extLst>
        </xdr:cNvPr>
        <xdr:cNvSpPr/>
      </xdr:nvSpPr>
      <xdr:spPr>
        <a:xfrm rot="16200000">
          <a:off x="3329413" y="8226554"/>
          <a:ext cx="95578" cy="91197"/>
        </a:xfrm>
        <a:prstGeom prst="triangl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84254</xdr:colOff>
      <xdr:row>44</xdr:row>
      <xdr:rowOff>162619</xdr:rowOff>
    </xdr:from>
    <xdr:to>
      <xdr:col>6</xdr:col>
      <xdr:colOff>175451</xdr:colOff>
      <xdr:row>45</xdr:row>
      <xdr:rowOff>75755</xdr:rowOff>
    </xdr:to>
    <xdr:sp macro="" textlink="">
      <xdr:nvSpPr>
        <xdr:cNvPr id="6" name="Равнобедренный треугольник 5">
          <a:extLst>
            <a:ext uri="{FF2B5EF4-FFF2-40B4-BE49-F238E27FC236}">
              <a16:creationId xmlns:a16="http://schemas.microsoft.com/office/drawing/2014/main" id="{A249285B-30D0-42B0-A011-F63214FC6E1B}"/>
            </a:ext>
          </a:extLst>
        </xdr:cNvPr>
        <xdr:cNvSpPr/>
      </xdr:nvSpPr>
      <xdr:spPr>
        <a:xfrm rot="16200000">
          <a:off x="3740031" y="8159580"/>
          <a:ext cx="94844" cy="91197"/>
        </a:xfrm>
        <a:prstGeom prst="triangl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538277</xdr:colOff>
      <xdr:row>43</xdr:row>
      <xdr:rowOff>175123</xdr:rowOff>
    </xdr:from>
    <xdr:to>
      <xdr:col>6</xdr:col>
      <xdr:colOff>584885</xdr:colOff>
      <xdr:row>44</xdr:row>
      <xdr:rowOff>90900</xdr:rowOff>
    </xdr:to>
    <xdr:sp macro="" textlink="">
      <xdr:nvSpPr>
        <xdr:cNvPr id="7" name="Равнобедренный треугольник 6">
          <a:extLst>
            <a:ext uri="{FF2B5EF4-FFF2-40B4-BE49-F238E27FC236}">
              <a16:creationId xmlns:a16="http://schemas.microsoft.com/office/drawing/2014/main" id="{46290046-7A35-4EA8-A779-F5E621F6FCE7}"/>
            </a:ext>
          </a:extLst>
        </xdr:cNvPr>
        <xdr:cNvSpPr/>
      </xdr:nvSpPr>
      <xdr:spPr>
        <a:xfrm rot="16200000">
          <a:off x="4170439" y="8013992"/>
          <a:ext cx="97484" cy="46608"/>
        </a:xfrm>
        <a:prstGeom prst="triangl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289448</xdr:colOff>
      <xdr:row>43</xdr:row>
      <xdr:rowOff>14813</xdr:rowOff>
    </xdr:from>
    <xdr:to>
      <xdr:col>7</xdr:col>
      <xdr:colOff>380645</xdr:colOff>
      <xdr:row>43</xdr:row>
      <xdr:rowOff>108923</xdr:rowOff>
    </xdr:to>
    <xdr:sp macro="" textlink="">
      <xdr:nvSpPr>
        <xdr:cNvPr id="8" name="Равнобедренный треугольник 7">
          <a:extLst>
            <a:ext uri="{FF2B5EF4-FFF2-40B4-BE49-F238E27FC236}">
              <a16:creationId xmlns:a16="http://schemas.microsoft.com/office/drawing/2014/main" id="{FF8F8B49-2480-43F7-9A84-6F0BF216102B}"/>
            </a:ext>
          </a:extLst>
        </xdr:cNvPr>
        <xdr:cNvSpPr/>
      </xdr:nvSpPr>
      <xdr:spPr>
        <a:xfrm rot="16200000">
          <a:off x="4555192" y="7829700"/>
          <a:ext cx="94110" cy="91197"/>
        </a:xfrm>
        <a:prstGeom prst="triangl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106195</xdr:colOff>
      <xdr:row>41</xdr:row>
      <xdr:rowOff>49050</xdr:rowOff>
    </xdr:from>
    <xdr:to>
      <xdr:col>8</xdr:col>
      <xdr:colOff>197392</xdr:colOff>
      <xdr:row>41</xdr:row>
      <xdr:rowOff>142723</xdr:rowOff>
    </xdr:to>
    <xdr:sp macro="" textlink="">
      <xdr:nvSpPr>
        <xdr:cNvPr id="9" name="Равнобедренный треугольник 8">
          <a:extLst>
            <a:ext uri="{FF2B5EF4-FFF2-40B4-BE49-F238E27FC236}">
              <a16:creationId xmlns:a16="http://schemas.microsoft.com/office/drawing/2014/main" id="{A22A831B-CEAF-4F73-8E2D-16FD2BA5C791}"/>
            </a:ext>
          </a:extLst>
        </xdr:cNvPr>
        <xdr:cNvSpPr/>
      </xdr:nvSpPr>
      <xdr:spPr>
        <a:xfrm rot="16200000">
          <a:off x="4981757" y="7500303"/>
          <a:ext cx="93673" cy="91197"/>
        </a:xfrm>
        <a:prstGeom prst="triangl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562142</xdr:colOff>
      <xdr:row>40</xdr:row>
      <xdr:rowOff>36093</xdr:rowOff>
    </xdr:from>
    <xdr:to>
      <xdr:col>9</xdr:col>
      <xdr:colOff>4216</xdr:colOff>
      <xdr:row>40</xdr:row>
      <xdr:rowOff>134262</xdr:rowOff>
    </xdr:to>
    <xdr:sp macro="" textlink="">
      <xdr:nvSpPr>
        <xdr:cNvPr id="10" name="Равнобедренный треугольник 9">
          <a:extLst>
            <a:ext uri="{FF2B5EF4-FFF2-40B4-BE49-F238E27FC236}">
              <a16:creationId xmlns:a16="http://schemas.microsoft.com/office/drawing/2014/main" id="{B047922F-11C5-4928-9103-294D0E0F31C0}"/>
            </a:ext>
          </a:extLst>
        </xdr:cNvPr>
        <xdr:cNvSpPr/>
      </xdr:nvSpPr>
      <xdr:spPr>
        <a:xfrm rot="16200000">
          <a:off x="5415694" y="7327649"/>
          <a:ext cx="98169" cy="51674"/>
        </a:xfrm>
        <a:prstGeom prst="triangl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330437</xdr:colOff>
      <xdr:row>39</xdr:row>
      <xdr:rowOff>138240</xdr:rowOff>
    </xdr:from>
    <xdr:to>
      <xdr:col>9</xdr:col>
      <xdr:colOff>421634</xdr:colOff>
      <xdr:row>40</xdr:row>
      <xdr:rowOff>52110</xdr:rowOff>
    </xdr:to>
    <xdr:sp macro="" textlink="">
      <xdr:nvSpPr>
        <xdr:cNvPr id="11" name="Равнобедренный треугольник 10">
          <a:extLst>
            <a:ext uri="{FF2B5EF4-FFF2-40B4-BE49-F238E27FC236}">
              <a16:creationId xmlns:a16="http://schemas.microsoft.com/office/drawing/2014/main" id="{108309EC-84F0-4324-BE1D-3BFB16A458E5}"/>
            </a:ext>
          </a:extLst>
        </xdr:cNvPr>
        <xdr:cNvSpPr/>
      </xdr:nvSpPr>
      <xdr:spPr>
        <a:xfrm rot="16200000">
          <a:off x="5791796" y="7339178"/>
          <a:ext cx="98417" cy="91197"/>
        </a:xfrm>
        <a:prstGeom prst="triangl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topLeftCell="A6" zoomScale="85" zoomScaleNormal="85" workbookViewId="0">
      <selection activeCell="N45" sqref="N45"/>
    </sheetView>
  </sheetViews>
  <sheetFormatPr defaultRowHeight="14.4" x14ac:dyDescent="0.3"/>
  <cols>
    <col min="1" max="1" width="13" bestFit="1" customWidth="1"/>
  </cols>
  <sheetData>
    <row r="1" spans="1:10" x14ac:dyDescent="0.3">
      <c r="A1" s="13" t="s">
        <v>0</v>
      </c>
      <c r="B1" s="14"/>
    </row>
    <row r="2" spans="1:10" x14ac:dyDescent="0.3">
      <c r="A2" s="8">
        <v>29</v>
      </c>
      <c r="B2" s="8">
        <v>30</v>
      </c>
      <c r="C2" s="8">
        <v>47</v>
      </c>
      <c r="D2" s="8">
        <v>49</v>
      </c>
      <c r="E2" s="8">
        <v>41</v>
      </c>
      <c r="F2" s="8">
        <v>34</v>
      </c>
      <c r="G2" s="8">
        <v>40</v>
      </c>
      <c r="H2" s="8">
        <v>31</v>
      </c>
      <c r="I2" s="8">
        <v>26</v>
      </c>
      <c r="J2" s="8">
        <v>31</v>
      </c>
    </row>
    <row r="3" spans="1:10" x14ac:dyDescent="0.3">
      <c r="A3" s="8">
        <v>34</v>
      </c>
      <c r="B3" s="8">
        <v>37</v>
      </c>
      <c r="C3" s="8">
        <v>15</v>
      </c>
      <c r="D3" s="8">
        <v>25</v>
      </c>
      <c r="E3" s="8">
        <v>41</v>
      </c>
      <c r="F3" s="8">
        <v>22</v>
      </c>
      <c r="G3" s="8">
        <v>30</v>
      </c>
      <c r="H3" s="8">
        <v>33</v>
      </c>
      <c r="I3" s="8">
        <v>19</v>
      </c>
      <c r="J3" s="8">
        <v>32</v>
      </c>
    </row>
    <row r="4" spans="1:10" x14ac:dyDescent="0.3">
      <c r="A4" s="8">
        <v>25</v>
      </c>
      <c r="B4" s="8">
        <v>39</v>
      </c>
      <c r="C4" s="8">
        <v>36</v>
      </c>
      <c r="D4" s="8">
        <v>25</v>
      </c>
      <c r="E4" s="8">
        <v>30</v>
      </c>
      <c r="F4" s="8">
        <v>34</v>
      </c>
      <c r="G4" s="8">
        <v>19</v>
      </c>
      <c r="H4" s="8">
        <v>38</v>
      </c>
      <c r="I4" s="8">
        <v>23</v>
      </c>
      <c r="J4" s="8">
        <v>40</v>
      </c>
    </row>
    <row r="5" spans="1:10" x14ac:dyDescent="0.3">
      <c r="A5" s="8">
        <v>31</v>
      </c>
      <c r="B5" s="8">
        <v>49</v>
      </c>
      <c r="C5" s="8">
        <v>30</v>
      </c>
      <c r="D5" s="8">
        <v>24</v>
      </c>
      <c r="E5" s="8">
        <v>37</v>
      </c>
      <c r="F5" s="8">
        <v>34</v>
      </c>
      <c r="G5" s="8">
        <v>33</v>
      </c>
      <c r="H5" s="8">
        <v>30</v>
      </c>
      <c r="I5" s="8">
        <v>32</v>
      </c>
      <c r="J5" s="8">
        <v>43</v>
      </c>
    </row>
    <row r="6" spans="1:10" x14ac:dyDescent="0.3">
      <c r="A6" s="8">
        <v>24</v>
      </c>
      <c r="B6" s="8">
        <v>18</v>
      </c>
      <c r="C6" s="8">
        <v>9</v>
      </c>
      <c r="D6" s="8">
        <v>44</v>
      </c>
      <c r="E6" s="8">
        <v>20</v>
      </c>
      <c r="F6" s="8">
        <v>18</v>
      </c>
      <c r="G6" s="8">
        <v>33</v>
      </c>
      <c r="H6" s="8">
        <v>36</v>
      </c>
      <c r="I6" s="8">
        <v>36</v>
      </c>
      <c r="J6" s="8">
        <v>31</v>
      </c>
    </row>
    <row r="7" spans="1:10" x14ac:dyDescent="0.3">
      <c r="A7" s="8">
        <v>46</v>
      </c>
      <c r="B7" s="8">
        <v>28</v>
      </c>
      <c r="C7" s="8">
        <v>35</v>
      </c>
      <c r="D7" s="8">
        <v>30</v>
      </c>
      <c r="E7" s="8">
        <v>15</v>
      </c>
      <c r="F7" s="8">
        <v>27</v>
      </c>
      <c r="G7" s="8">
        <v>29</v>
      </c>
      <c r="H7" s="8">
        <v>22</v>
      </c>
      <c r="I7" s="8">
        <v>27</v>
      </c>
      <c r="J7" s="8">
        <v>31</v>
      </c>
    </row>
    <row r="8" spans="1:10" x14ac:dyDescent="0.3">
      <c r="A8" s="8">
        <v>31</v>
      </c>
      <c r="B8" s="8">
        <v>21</v>
      </c>
      <c r="C8" s="8">
        <v>21</v>
      </c>
      <c r="D8" s="8">
        <v>35</v>
      </c>
      <c r="E8" s="8">
        <v>32</v>
      </c>
      <c r="F8" s="8">
        <v>17</v>
      </c>
      <c r="G8" s="8">
        <v>24</v>
      </c>
      <c r="H8" s="8">
        <v>32</v>
      </c>
      <c r="I8" s="8">
        <v>23</v>
      </c>
      <c r="J8" s="8">
        <v>32</v>
      </c>
    </row>
    <row r="9" spans="1:10" x14ac:dyDescent="0.3">
      <c r="A9" s="8">
        <v>27</v>
      </c>
      <c r="B9" s="8">
        <v>19</v>
      </c>
      <c r="C9" s="8">
        <v>29</v>
      </c>
      <c r="D9" s="8">
        <v>29</v>
      </c>
      <c r="E9" s="8">
        <v>29</v>
      </c>
      <c r="F9" s="8">
        <v>37</v>
      </c>
      <c r="G9" s="8">
        <v>30</v>
      </c>
      <c r="H9" s="8">
        <v>29</v>
      </c>
      <c r="I9" s="8">
        <v>30</v>
      </c>
      <c r="J9" s="8">
        <v>35</v>
      </c>
    </row>
    <row r="10" spans="1:10" x14ac:dyDescent="0.3">
      <c r="A10" s="8">
        <v>21</v>
      </c>
      <c r="B10" s="8">
        <v>23</v>
      </c>
      <c r="C10" s="8">
        <v>28</v>
      </c>
      <c r="D10" s="8">
        <v>34</v>
      </c>
      <c r="E10" s="8">
        <v>17</v>
      </c>
      <c r="F10" s="8">
        <v>41</v>
      </c>
      <c r="G10" s="8">
        <v>28</v>
      </c>
      <c r="H10" s="8">
        <v>24</v>
      </c>
      <c r="I10" s="8">
        <v>47</v>
      </c>
      <c r="J10" s="8">
        <v>28</v>
      </c>
    </row>
    <row r="11" spans="1:10" x14ac:dyDescent="0.3">
      <c r="A11" s="8">
        <v>36</v>
      </c>
      <c r="B11" s="8">
        <v>28</v>
      </c>
      <c r="C11" s="8">
        <v>38</v>
      </c>
      <c r="D11" s="8">
        <v>22</v>
      </c>
      <c r="E11" s="8">
        <v>32</v>
      </c>
      <c r="F11" s="8">
        <v>33</v>
      </c>
      <c r="G11" s="8">
        <v>23</v>
      </c>
      <c r="H11" s="8">
        <v>36</v>
      </c>
      <c r="I11" s="8">
        <v>31</v>
      </c>
      <c r="J11" s="8">
        <v>21</v>
      </c>
    </row>
    <row r="12" spans="1:10" x14ac:dyDescent="0.3">
      <c r="A12" s="15" t="s">
        <v>1</v>
      </c>
      <c r="B12" s="15"/>
      <c r="C12" t="s">
        <v>2</v>
      </c>
      <c r="D12">
        <f>ROUND(1+LOG(100,2),0)</f>
        <v>8</v>
      </c>
    </row>
    <row r="13" spans="1:10" x14ac:dyDescent="0.3">
      <c r="A13" t="s">
        <v>3</v>
      </c>
      <c r="B13">
        <f>MIN(A2:J11)</f>
        <v>9</v>
      </c>
      <c r="C13" t="s">
        <v>4</v>
      </c>
      <c r="D13">
        <f>MAX(A2:J11)</f>
        <v>49</v>
      </c>
      <c r="E13" t="s">
        <v>5</v>
      </c>
      <c r="F13">
        <f>(D13-B13)</f>
        <v>40</v>
      </c>
    </row>
    <row r="14" spans="1:10" x14ac:dyDescent="0.3">
      <c r="A14" s="15" t="s">
        <v>6</v>
      </c>
      <c r="B14" s="15"/>
      <c r="C14">
        <f>(F13/D12)</f>
        <v>5</v>
      </c>
      <c r="D14" t="s">
        <v>7</v>
      </c>
      <c r="E14" t="s">
        <v>8</v>
      </c>
      <c r="F14">
        <f>ROUND(C14,1)</f>
        <v>5</v>
      </c>
    </row>
    <row r="15" spans="1:10" x14ac:dyDescent="0.3">
      <c r="A15" s="13" t="s">
        <v>9</v>
      </c>
      <c r="B15" s="13"/>
      <c r="C15" s="13"/>
      <c r="D15" s="13"/>
    </row>
    <row r="16" spans="1:10" x14ac:dyDescent="0.3">
      <c r="A16" s="1" t="s">
        <v>10</v>
      </c>
      <c r="B16" s="1" t="s">
        <v>11</v>
      </c>
      <c r="C16" s="9" t="s">
        <v>12</v>
      </c>
      <c r="D16" s="1" t="s">
        <v>13</v>
      </c>
      <c r="E16" s="1" t="s">
        <v>14</v>
      </c>
      <c r="F16" s="1" t="s">
        <v>15</v>
      </c>
      <c r="G16" s="16" t="s">
        <v>16</v>
      </c>
      <c r="H16" s="14"/>
    </row>
    <row r="17" spans="1:9" x14ac:dyDescent="0.3">
      <c r="A17" s="6">
        <f>B13</f>
        <v>9</v>
      </c>
      <c r="B17" s="6">
        <f>A17+$F$14</f>
        <v>14</v>
      </c>
      <c r="C17" s="2">
        <f>(A17+B17)/2</f>
        <v>11.5</v>
      </c>
      <c r="D17" s="3">
        <f>COUNTIFS($A$2:$J$11,"&gt;="&amp;A17,$A$2:$J$11,"&lt;"&amp;B17)</f>
        <v>1</v>
      </c>
      <c r="E17" s="2">
        <f>D17/100</f>
        <v>0.01</v>
      </c>
      <c r="F17" s="2">
        <f>E17/$F$14</f>
        <v>2E-3</v>
      </c>
      <c r="G17" t="s">
        <v>17</v>
      </c>
      <c r="H17" s="4">
        <f>SUMPRODUCT(C17:C24,D17:D24)/100</f>
        <v>30.6</v>
      </c>
    </row>
    <row r="18" spans="1:9" x14ac:dyDescent="0.3">
      <c r="A18" s="6">
        <f>A17+$F$14</f>
        <v>14</v>
      </c>
      <c r="B18" s="6">
        <f t="shared" ref="B18:B24" si="0">A18+$F$14</f>
        <v>19</v>
      </c>
      <c r="C18" s="2">
        <f t="shared" ref="C18:C24" si="1">(A18+B18)/2</f>
        <v>16.5</v>
      </c>
      <c r="D18" s="3">
        <f t="shared" ref="D18:D22" si="2">COUNTIFS($A$2:$J$11,"&gt;="&amp;A18,$A$2:$J$11,"&lt;"&amp;B18)</f>
        <v>6</v>
      </c>
      <c r="E18" s="2">
        <f t="shared" ref="E18:E24" si="3">D18/100</f>
        <v>0.06</v>
      </c>
      <c r="F18" s="2">
        <f t="shared" ref="F18:F24" si="4">E18/$F$14</f>
        <v>1.2E-2</v>
      </c>
    </row>
    <row r="19" spans="1:9" x14ac:dyDescent="0.3">
      <c r="A19" s="6">
        <f t="shared" ref="A19:A24" si="5">A18+$F$14</f>
        <v>19</v>
      </c>
      <c r="B19" s="6">
        <f t="shared" si="0"/>
        <v>24</v>
      </c>
      <c r="C19" s="2">
        <f t="shared" si="1"/>
        <v>21.5</v>
      </c>
      <c r="D19" s="3">
        <f t="shared" si="2"/>
        <v>15</v>
      </c>
      <c r="E19" s="2">
        <f t="shared" si="3"/>
        <v>0.15</v>
      </c>
      <c r="F19" s="2">
        <f t="shared" si="4"/>
        <v>0.03</v>
      </c>
      <c r="G19" s="16" t="s">
        <v>18</v>
      </c>
      <c r="H19" s="14"/>
    </row>
    <row r="20" spans="1:9" x14ac:dyDescent="0.3">
      <c r="A20" s="6">
        <f t="shared" si="5"/>
        <v>24</v>
      </c>
      <c r="B20" s="6">
        <f t="shared" si="0"/>
        <v>29</v>
      </c>
      <c r="C20" s="2">
        <f t="shared" si="1"/>
        <v>26.5</v>
      </c>
      <c r="D20" s="3">
        <f t="shared" si="2"/>
        <v>16</v>
      </c>
      <c r="E20" s="2">
        <f t="shared" si="3"/>
        <v>0.16</v>
      </c>
      <c r="F20" s="2">
        <f t="shared" si="4"/>
        <v>3.2000000000000001E-2</v>
      </c>
      <c r="G20" t="s">
        <v>19</v>
      </c>
      <c r="H20">
        <f>SUMPRODUCT(C17:C24, C17:C24, D17:D24)/100 - H17^2</f>
        <v>60.689999999999827</v>
      </c>
    </row>
    <row r="21" spans="1:9" x14ac:dyDescent="0.3">
      <c r="A21" s="6">
        <f t="shared" si="5"/>
        <v>29</v>
      </c>
      <c r="B21" s="6">
        <f t="shared" si="0"/>
        <v>34</v>
      </c>
      <c r="C21" s="2">
        <f t="shared" si="1"/>
        <v>31.5</v>
      </c>
      <c r="D21" s="3">
        <f t="shared" si="2"/>
        <v>31</v>
      </c>
      <c r="E21" s="2">
        <f t="shared" si="3"/>
        <v>0.31</v>
      </c>
      <c r="F21" s="2">
        <f t="shared" si="4"/>
        <v>6.2E-2</v>
      </c>
      <c r="G21" t="s">
        <v>20</v>
      </c>
      <c r="H21">
        <f>(100/(100-1))*H20</f>
        <v>61.303030303030134</v>
      </c>
    </row>
    <row r="22" spans="1:9" x14ac:dyDescent="0.3">
      <c r="A22" s="6">
        <f t="shared" si="5"/>
        <v>34</v>
      </c>
      <c r="B22" s="6">
        <f t="shared" si="0"/>
        <v>39</v>
      </c>
      <c r="C22" s="2">
        <f t="shared" si="1"/>
        <v>36.5</v>
      </c>
      <c r="D22" s="3">
        <f t="shared" si="2"/>
        <v>18</v>
      </c>
      <c r="E22" s="2">
        <f t="shared" si="3"/>
        <v>0.18</v>
      </c>
      <c r="F22" s="2">
        <f t="shared" si="4"/>
        <v>3.5999999999999997E-2</v>
      </c>
      <c r="G22" t="s">
        <v>21</v>
      </c>
      <c r="H22" s="4">
        <f>SQRT(H21)</f>
        <v>7.8296251700212398</v>
      </c>
    </row>
    <row r="23" spans="1:9" x14ac:dyDescent="0.3">
      <c r="A23" s="6">
        <f t="shared" si="5"/>
        <v>39</v>
      </c>
      <c r="B23" s="6">
        <f t="shared" si="0"/>
        <v>44</v>
      </c>
      <c r="C23" s="2">
        <f t="shared" si="1"/>
        <v>41.5</v>
      </c>
      <c r="D23" s="3">
        <f>COUNTIFS($A$2:$J$11,"&gt;="&amp;A23,$A$2:$J$11,"&lt;"&amp;B23)</f>
        <v>7</v>
      </c>
      <c r="E23" s="2">
        <f t="shared" si="3"/>
        <v>7.0000000000000007E-2</v>
      </c>
      <c r="F23" s="2">
        <f t="shared" si="4"/>
        <v>1.4000000000000002E-2</v>
      </c>
    </row>
    <row r="24" spans="1:9" x14ac:dyDescent="0.3">
      <c r="A24" s="6">
        <f t="shared" si="5"/>
        <v>44</v>
      </c>
      <c r="B24" s="6">
        <f t="shared" si="0"/>
        <v>49</v>
      </c>
      <c r="C24" s="2">
        <f t="shared" si="1"/>
        <v>46.5</v>
      </c>
      <c r="D24" s="3">
        <f>COUNTIFS($A$2:$I$11,"&gt;="&amp;A24, $A$2:$I$11,"&lt;="&amp;B24)</f>
        <v>6</v>
      </c>
      <c r="E24" s="2">
        <f t="shared" si="3"/>
        <v>0.06</v>
      </c>
      <c r="F24" s="2">
        <f t="shared" si="4"/>
        <v>1.2E-2</v>
      </c>
    </row>
    <row r="25" spans="1:9" x14ac:dyDescent="0.3">
      <c r="C25" s="10"/>
    </row>
    <row r="26" spans="1:9" x14ac:dyDescent="0.3">
      <c r="A26" s="13" t="s">
        <v>22</v>
      </c>
      <c r="B26" s="14"/>
      <c r="C26" s="14"/>
      <c r="D26" s="14"/>
      <c r="E26" s="14"/>
      <c r="F26" s="14"/>
      <c r="G26" s="14"/>
    </row>
    <row r="27" spans="1:9" x14ac:dyDescent="0.3">
      <c r="A27" s="1" t="s">
        <v>10</v>
      </c>
      <c r="B27" s="1" t="s">
        <v>11</v>
      </c>
      <c r="C27" s="1" t="s">
        <v>13</v>
      </c>
      <c r="D27" s="9" t="s">
        <v>23</v>
      </c>
      <c r="E27" s="1" t="s">
        <v>24</v>
      </c>
      <c r="F27" s="1" t="s">
        <v>25</v>
      </c>
      <c r="G27" s="1" t="s">
        <v>26</v>
      </c>
      <c r="H27" s="1" t="s">
        <v>27</v>
      </c>
      <c r="I27" s="1" t="s">
        <v>28</v>
      </c>
    </row>
    <row r="28" spans="1:9" x14ac:dyDescent="0.3">
      <c r="A28" s="6">
        <f>-0.00000000001</f>
        <v>-9.9999999999999994E-12</v>
      </c>
      <c r="B28" s="6">
        <f>B18</f>
        <v>19</v>
      </c>
      <c r="C28" s="6">
        <f>D18+D17</f>
        <v>7</v>
      </c>
      <c r="D28" s="2">
        <f>_xlfn.NORM.DIST(B28,$H$17,$H$22,TRUE)-_xlfn.NORM.DIST(A28,$H$17,$H$22,TRUE)</f>
        <v>6.9183228784053807E-2</v>
      </c>
      <c r="E28" s="2">
        <f>100*D28</f>
        <v>6.9183228784053803</v>
      </c>
      <c r="F28" s="2">
        <f>C28-E28</f>
        <v>8.1677121594619706E-2</v>
      </c>
      <c r="G28" s="2">
        <f>F28^2</f>
        <v>6.6711521919822925E-3</v>
      </c>
      <c r="H28" s="2">
        <f t="shared" ref="H28:H34" si="6">G28/E28</f>
        <v>9.6427303397553211E-4</v>
      </c>
      <c r="I28" s="2">
        <f t="shared" ref="I28:I34" si="7">C28^2/E28</f>
        <v>7.0826413946285953</v>
      </c>
    </row>
    <row r="29" spans="1:9" x14ac:dyDescent="0.3">
      <c r="A29" s="6">
        <f>A19</f>
        <v>19</v>
      </c>
      <c r="B29" s="6">
        <f t="shared" ref="A29:B33" si="8">B19</f>
        <v>24</v>
      </c>
      <c r="C29" s="6">
        <f t="shared" ref="C29:C34" si="9">D19</f>
        <v>15</v>
      </c>
      <c r="D29" s="2">
        <f t="shared" ref="D29:D34" si="10">_xlfn.NORM.DIST(B29,$H$17,$H$22,TRUE)-_xlfn.NORM.DIST(A29,$H$17,$H$22,TRUE)</f>
        <v>0.13039786474090753</v>
      </c>
      <c r="E29" s="2">
        <f t="shared" ref="E29:E34" si="11">100*D29</f>
        <v>13.039786474090754</v>
      </c>
      <c r="F29" s="2">
        <f t="shared" ref="F29:F34" si="12">C29-E29</f>
        <v>1.9602135259092464</v>
      </c>
      <c r="G29" s="2">
        <f t="shared" ref="G29:G34" si="13">F29^2</f>
        <v>3.8424370671575598</v>
      </c>
      <c r="H29" s="2">
        <f t="shared" si="6"/>
        <v>0.29467024439336059</v>
      </c>
      <c r="I29" s="2">
        <f t="shared" si="7"/>
        <v>17.254883770302605</v>
      </c>
    </row>
    <row r="30" spans="1:9" x14ac:dyDescent="0.3">
      <c r="A30" s="6">
        <f t="shared" si="8"/>
        <v>24</v>
      </c>
      <c r="B30" s="6">
        <f t="shared" si="8"/>
        <v>29</v>
      </c>
      <c r="C30" s="6">
        <f t="shared" si="9"/>
        <v>16</v>
      </c>
      <c r="D30" s="2">
        <f t="shared" si="10"/>
        <v>0.21941161640040296</v>
      </c>
      <c r="E30" s="2">
        <f t="shared" si="11"/>
        <v>21.941161640040296</v>
      </c>
      <c r="F30" s="2">
        <f t="shared" si="12"/>
        <v>-5.9411616400402956</v>
      </c>
      <c r="G30" s="2">
        <f t="shared" si="13"/>
        <v>35.297401633086295</v>
      </c>
      <c r="H30" s="2">
        <f t="shared" si="6"/>
        <v>1.6087298481349446</v>
      </c>
      <c r="I30" s="2">
        <f t="shared" si="7"/>
        <v>11.667568208094648</v>
      </c>
    </row>
    <row r="31" spans="1:9" x14ac:dyDescent="0.3">
      <c r="A31" s="6">
        <f t="shared" si="8"/>
        <v>29</v>
      </c>
      <c r="B31" s="6">
        <f t="shared" si="8"/>
        <v>34</v>
      </c>
      <c r="C31" s="6">
        <f t="shared" si="9"/>
        <v>31</v>
      </c>
      <c r="D31" s="2">
        <f t="shared" si="10"/>
        <v>0.24890666622882757</v>
      </c>
      <c r="E31" s="2">
        <f t="shared" si="11"/>
        <v>24.890666622882758</v>
      </c>
      <c r="F31" s="2">
        <f t="shared" si="12"/>
        <v>6.1093333771172418</v>
      </c>
      <c r="G31" s="2">
        <f t="shared" si="13"/>
        <v>37.323954312758765</v>
      </c>
      <c r="H31" s="2">
        <f t="shared" si="6"/>
        <v>1.4995160586999186</v>
      </c>
      <c r="I31" s="2">
        <f t="shared" si="7"/>
        <v>38.608849435817163</v>
      </c>
    </row>
    <row r="32" spans="1:9" x14ac:dyDescent="0.3">
      <c r="A32" s="6">
        <f t="shared" si="8"/>
        <v>34</v>
      </c>
      <c r="B32" s="6">
        <f t="shared" si="8"/>
        <v>39</v>
      </c>
      <c r="C32" s="6">
        <f t="shared" si="9"/>
        <v>18</v>
      </c>
      <c r="D32" s="2">
        <f t="shared" si="10"/>
        <v>0.19038454266604876</v>
      </c>
      <c r="E32" s="2">
        <f t="shared" si="11"/>
        <v>19.038454266604877</v>
      </c>
      <c r="F32" s="2">
        <f t="shared" si="12"/>
        <v>-1.0384542666048766</v>
      </c>
      <c r="G32" s="2">
        <f t="shared" si="13"/>
        <v>1.0783872638298722</v>
      </c>
      <c r="H32" s="2">
        <f t="shared" si="6"/>
        <v>5.6642584987661435E-2</v>
      </c>
      <c r="I32" s="2">
        <f t="shared" si="7"/>
        <v>17.018188318382784</v>
      </c>
    </row>
    <row r="33" spans="1:9" x14ac:dyDescent="0.3">
      <c r="A33" s="6">
        <f>A23</f>
        <v>39</v>
      </c>
      <c r="B33" s="6">
        <f t="shared" si="8"/>
        <v>44</v>
      </c>
      <c r="C33" s="6">
        <f t="shared" si="9"/>
        <v>7</v>
      </c>
      <c r="D33" s="2">
        <f t="shared" si="10"/>
        <v>9.8170416161366014E-2</v>
      </c>
      <c r="E33" s="2">
        <f t="shared" si="11"/>
        <v>9.817041616136601</v>
      </c>
      <c r="F33" s="2">
        <f t="shared" si="12"/>
        <v>-2.817041616136601</v>
      </c>
      <c r="G33" s="2">
        <f t="shared" si="13"/>
        <v>7.9357234670455128</v>
      </c>
      <c r="H33" s="2">
        <f t="shared" si="6"/>
        <v>0.80836200734865971</v>
      </c>
      <c r="I33" s="2">
        <f t="shared" si="7"/>
        <v>4.9913203912120583</v>
      </c>
    </row>
    <row r="34" spans="1:9" x14ac:dyDescent="0.3">
      <c r="A34" s="6">
        <f>A24</f>
        <v>44</v>
      </c>
      <c r="B34" s="7">
        <v>100000000000</v>
      </c>
      <c r="C34" s="6">
        <f t="shared" si="9"/>
        <v>6</v>
      </c>
      <c r="D34" s="2">
        <f t="shared" si="10"/>
        <v>4.349917822133742E-2</v>
      </c>
      <c r="E34" s="2">
        <f t="shared" si="11"/>
        <v>4.349917822133742</v>
      </c>
      <c r="F34" s="2">
        <f t="shared" si="12"/>
        <v>1.650082177866258</v>
      </c>
      <c r="G34" s="2">
        <f t="shared" si="13"/>
        <v>2.7227711937118531</v>
      </c>
      <c r="H34" s="2">
        <f t="shared" si="6"/>
        <v>0.6259362371991356</v>
      </c>
      <c r="I34" s="2">
        <f t="shared" si="7"/>
        <v>8.2760184150653942</v>
      </c>
    </row>
    <row r="36" spans="1:9" x14ac:dyDescent="0.3">
      <c r="A36" s="4" t="s">
        <v>29</v>
      </c>
      <c r="B36" s="4"/>
      <c r="C36" s="5">
        <f>SUM(C28:C34)</f>
        <v>100</v>
      </c>
      <c r="D36" s="4">
        <f>SUM(D28:D34)</f>
        <v>0.99995351320294401</v>
      </c>
      <c r="E36" s="4">
        <f>SUM(E28:E34)</f>
        <v>99.995351320294418</v>
      </c>
      <c r="F36" s="4" t="s">
        <v>30</v>
      </c>
      <c r="G36" s="4">
        <f>SUM(H28:H34)</f>
        <v>4.8948212537976561</v>
      </c>
      <c r="H36" s="4"/>
      <c r="I36" s="4">
        <f>SUM(I28:I34)</f>
        <v>104.89946993350324</v>
      </c>
    </row>
    <row r="37" spans="1:9" x14ac:dyDescent="0.3">
      <c r="D37" s="12" t="s">
        <v>31</v>
      </c>
      <c r="E37" s="4">
        <f>7-2-1</f>
        <v>4</v>
      </c>
      <c r="F37" s="12" t="s">
        <v>32</v>
      </c>
      <c r="G37" s="4">
        <f>_xlfn.CHISQ.INV.RT(0.05,4)</f>
        <v>9.4877290367811575</v>
      </c>
    </row>
    <row r="38" spans="1:9" x14ac:dyDescent="0.3">
      <c r="A38" t="s">
        <v>35</v>
      </c>
      <c r="B38" t="s">
        <v>33</v>
      </c>
      <c r="C38" t="s">
        <v>34</v>
      </c>
    </row>
    <row r="39" spans="1:9" x14ac:dyDescent="0.3">
      <c r="A39">
        <f>E17</f>
        <v>0.01</v>
      </c>
      <c r="B39">
        <f>9</f>
        <v>9</v>
      </c>
      <c r="C39">
        <f>11.5</f>
        <v>11.5</v>
      </c>
    </row>
    <row r="40" spans="1:9" x14ac:dyDescent="0.3">
      <c r="A40">
        <f t="shared" ref="A40:A46" si="14">E18+A39</f>
        <v>6.9999999999999993E-2</v>
      </c>
      <c r="B40">
        <f>11.5</f>
        <v>11.5</v>
      </c>
      <c r="C40">
        <f>16.5</f>
        <v>16.5</v>
      </c>
    </row>
    <row r="41" spans="1:9" x14ac:dyDescent="0.3">
      <c r="A41">
        <f t="shared" si="14"/>
        <v>0.21999999999999997</v>
      </c>
      <c r="B41">
        <v>16.5</v>
      </c>
      <c r="C41">
        <f>21.5</f>
        <v>21.5</v>
      </c>
    </row>
    <row r="42" spans="1:9" x14ac:dyDescent="0.3">
      <c r="A42">
        <f t="shared" si="14"/>
        <v>0.38</v>
      </c>
      <c r="B42">
        <f>21.5</f>
        <v>21.5</v>
      </c>
      <c r="C42">
        <f>26.5</f>
        <v>26.5</v>
      </c>
    </row>
    <row r="43" spans="1:9" x14ac:dyDescent="0.3">
      <c r="A43">
        <f t="shared" si="14"/>
        <v>0.69</v>
      </c>
      <c r="B43">
        <f xml:space="preserve"> 26.5</f>
        <v>26.5</v>
      </c>
      <c r="C43">
        <f>31.5</f>
        <v>31.5</v>
      </c>
    </row>
    <row r="44" spans="1:9" x14ac:dyDescent="0.3">
      <c r="A44">
        <f t="shared" si="14"/>
        <v>0.86999999999999988</v>
      </c>
      <c r="B44">
        <f>31.5</f>
        <v>31.5</v>
      </c>
      <c r="C44">
        <f>36.5</f>
        <v>36.5</v>
      </c>
    </row>
    <row r="45" spans="1:9" x14ac:dyDescent="0.3">
      <c r="A45">
        <f t="shared" si="14"/>
        <v>0.94</v>
      </c>
      <c r="B45">
        <f>36.5</f>
        <v>36.5</v>
      </c>
      <c r="C45">
        <f>41.5</f>
        <v>41.5</v>
      </c>
    </row>
    <row r="46" spans="1:9" x14ac:dyDescent="0.3">
      <c r="A46">
        <f t="shared" si="14"/>
        <v>1</v>
      </c>
      <c r="B46">
        <f>41.5</f>
        <v>41.5</v>
      </c>
      <c r="C46" s="11">
        <f>46.5</f>
        <v>46.5</v>
      </c>
    </row>
  </sheetData>
  <mergeCells count="7">
    <mergeCell ref="A26:G26"/>
    <mergeCell ref="A1:B1"/>
    <mergeCell ref="A12:B12"/>
    <mergeCell ref="A14:B14"/>
    <mergeCell ref="A15:D15"/>
    <mergeCell ref="G16:H16"/>
    <mergeCell ref="G19:H19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Ваня Kорзан</dc:creator>
  <cp:lastModifiedBy>Вадим Потребко</cp:lastModifiedBy>
  <cp:lastPrinted>2025-12-01T11:29:38Z</cp:lastPrinted>
  <dcterms:created xsi:type="dcterms:W3CDTF">2025-11-16T14:40:36Z</dcterms:created>
  <dcterms:modified xsi:type="dcterms:W3CDTF">2025-12-19T16:26:57Z</dcterms:modified>
</cp:coreProperties>
</file>