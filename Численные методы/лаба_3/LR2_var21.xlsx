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tabRatio="500"/>
  </bookViews>
  <sheets>
    <sheet name="1. Анализ системы" sheetId="1" r:id="rId1"/>
    <sheet name="2. Метод Гаусса" sheetId="2" r:id="rId2"/>
    <sheet name="3. Метод итерации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<sst xmlns="http://schemas.openxmlformats.org/spreadsheetml/2006/main" count="49" uniqueCount="45">
  <si>
    <t>Лабораторная работа №2. Вариант 21</t>
  </si>
  <si>
    <t>Исходная матрица A:</t>
  </si>
  <si>
    <t>Вектор b:</t>
  </si>
  <si>
    <t>Определитель det(A):</t>
  </si>
  <si>
    <t>Так как det(A) ≠ 0, система имеет единственное решение.</t>
  </si>
  <si>
    <t>Обратная матрица A⁻¹ (формула MINVERSE):</t>
  </si>
  <si>
    <t>Норма ||A||₁ (макс. сумма модулей по столбцам):</t>
  </si>
  <si>
    <t>Суммы по столбцам |A|:</t>
  </si>
  <si>
    <t>||A||₁ =</t>
  </si>
  <si>
    <t>Суммы по столбцам |A⁻¹|:</t>
  </si>
  <si>
    <t>||A⁻¹||₁ =</t>
  </si>
  <si>
    <t>Число обусловленности μA = ||A||·||A⁻¹||:</t>
  </si>
  <si>
    <t>Так как μA &lt; 10, система ХОРОШО ОБУСЛОВЛЕНА.</t>
  </si>
  <si>
    <t>Точное решение X:</t>
  </si>
  <si>
    <t>x1</t>
  </si>
  <si>
    <t>x2</t>
  </si>
  <si>
    <t>x3</t>
  </si>
  <si>
    <t>x4</t>
  </si>
  <si>
    <t>Проверка A·X (должно быть равно b):</t>
  </si>
  <si>
    <t>Метод Гаусса с выбором главного элемента по столбцам</t>
  </si>
  <si>
    <t>Расширенная матрица [A|b]:</t>
  </si>
  <si>
    <t>Шаг 1: главный элемент a21=10.5 (меняем строки 1↔2), исключаем x1</t>
  </si>
  <si>
    <t>Шаг 2: главный элемент a22=−14.0628 (на месте), исключаем x2</t>
  </si>
  <si>
    <t>Шаг 3: главный элемент a43=−10.0641 (меняем строки 3↔4), исключаем x3</t>
  </si>
  <si>
    <t>Обратный ход:</t>
  </si>
  <si>
    <t>x4 = 0.0010 / 12.6571 =</t>
  </si>
  <si>
    <t>x3 = (23.1477 − 1.4165·x4) / (−10.0641) =</t>
  </si>
  <si>
    <t>x2 = (−8.5232 − 1.26·x3 − 2.3971·x4) / (−14.0628) =</t>
  </si>
  <si>
    <t>x1 = (5.19 + 1.2·x2 − 2.1·x3 − 0.9·x4) / 10.5 =</t>
  </si>
  <si>
    <t>Ответ методом Гаусса: x = (x1, x2, x3, x4)</t>
  </si>
  <si>
    <t>Погрешность (норма ||·||₁): ||X − xГаусс||₁ =</t>
  </si>
  <si>
    <t>Метод простой итерации</t>
  </si>
  <si>
    <t>После перестановки уравнений (диагональное преобладание):</t>
  </si>
  <si>
    <t>Матрица C (формула):</t>
  </si>
  <si>
    <t>вектор d:</t>
  </si>
  <si>
    <t>Суммы |C| по столбцам:</t>
  </si>
  <si>
    <t>||C||₁ =</t>
  </si>
  <si>
    <t>||C||₁ &lt; 1, итерационный процесс СХОДИТСЯ.</t>
  </si>
  <si>
    <t>Итерационный процесс x⁽ᵏ⁺¹⁾ = C·x⁽ᵏ⁾ + d:</t>
  </si>
  <si>
    <t>k</t>
  </si>
  <si>
    <t>||x⁽ᵏ⁾−x⁽ᵏ⁻¹⁾||₁</t>
  </si>
  <si>
    <t>Условие остановки: ||x⁽ᵏ⁾−x⁽ᵏ⁻¹⁾||₁ ≤ 0.001 — достигается на k=7</t>
  </si>
  <si>
    <t>Уточнённая оценка погрешности на k=7:</t>
  </si>
  <si>
    <t>||C||/(1-||C||) · ||x⁽⁷⁾−x⁽⁶⁾||₁ =</t>
  </si>
  <si>
    <t>Абсолютная погрешность ||x⁽⁷⁾−X||₁ =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</si>
</sst>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 ##0.00_-;\-* #\ ##0.00_-;_-* &quot;-&quot;??_-;_-@_-"/>
    <numFmt numFmtId="177" formatCode="_-&quot;₽&quot;* #\ ##0.00_-;\-&quot;₽&quot;* #\ ##0.00_-;_-&quot;₽&quot;* &quot;-&quot;??_-;_-@_-"/>
    <numFmt numFmtId="178" formatCode="_-* #\ ##0_-;\-* #\ ##0_-;_-* &quot;-&quot;_-;_-@_-"/>
    <numFmt numFmtId="179" formatCode="_-* #\ ##0_-;\-&quot;₽&quot;* #\ ##0_-;_-&quot;₽&quot;* &quot;-&quot;_-;_-@_-"/>
    <numFmt numFmtId="180" formatCode="0.000000"/>
    <numFmt numFmtId="181" formatCode="0.0000"/>
  </numFmts>
  <fonts count="25">
    <font>
      <sz val="11"/>
      <color theme="1"/>
      <name val="Calibri"/>
      <charset val="1"/>
    </font>
    <font>
      <b/>
      <sz val="14"/>
      <name val="Times New Roman"/>
      <charset val="1"/>
    </font>
    <font>
      <b/>
      <sz val="12"/>
      <name val="Times New Roman"/>
      <charset val="1"/>
    </font>
    <font>
      <sz val="11"/>
      <name val="Times New Roman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5E8F0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178" fontId="4" fillId="0" borderId="0" applyBorder="0" applyAlignment="0" applyProtection="0"/>
    <xf numFmtId="179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80" fontId="0" fillId="0" borderId="0" xfId="0" applyNumberFormat="1"/>
    <xf numFmtId="180" fontId="2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181" fontId="3" fillId="0" borderId="1" xfId="0" applyNumberFormat="1" applyFont="1" applyBorder="1" applyAlignment="1">
      <alignment horizontal="center" vertical="center"/>
    </xf>
    <xf numFmtId="181" fontId="0" fillId="0" borderId="0" xfId="0" applyNumberFormat="1"/>
    <xf numFmtId="181" fontId="2" fillId="0" borderId="0" xfId="0" applyNumberFormat="1" applyFont="1"/>
    <xf numFmtId="180" fontId="3" fillId="0" borderId="1" xfId="0" applyNumberFormat="1" applyFont="1" applyBorder="1" applyAlignment="1">
      <alignment horizontal="center" vertical="center"/>
    </xf>
    <xf numFmtId="181" fontId="3" fillId="0" borderId="0" xfId="0" applyNumberFormat="1" applyFont="1"/>
    <xf numFmtId="180" fontId="3" fillId="0" borderId="0" xfId="0" applyNumberFormat="1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CC"/>
      <rgbColor rgb="00D5E8F0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abSelected="1" zoomScale="82" zoomScaleNormal="82" workbookViewId="0">
      <selection activeCell="F12" sqref="F12"/>
    </sheetView>
  </sheetViews>
  <sheetFormatPr defaultColWidth="8.67592592592593" defaultRowHeight="14.4" outlineLevelCol="6"/>
  <cols>
    <col min="1" max="1" width="42" customWidth="1"/>
    <col min="2" max="7" width="14" customWidth="1"/>
  </cols>
  <sheetData>
    <row r="1" ht="17.4" spans="1:7">
      <c r="A1" s="1" t="s">
        <v>0</v>
      </c>
      <c r="B1" s="1"/>
      <c r="C1" s="1"/>
      <c r="D1" s="1"/>
      <c r="E1" s="1"/>
      <c r="F1" s="1"/>
    </row>
    <row r="3" ht="15.6" spans="1:7">
      <c r="A3" s="2" t="s">
        <v>1</v>
      </c>
      <c r="G3" s="2" t="s">
        <v>2</v>
      </c>
    </row>
    <row r="4" spans="1:7">
      <c r="B4" s="3">
        <v>1.2</v>
      </c>
      <c r="C4" s="3">
        <v>-14.2</v>
      </c>
      <c r="D4" s="3">
        <v>1.5</v>
      </c>
      <c r="E4" s="3">
        <v>2.5</v>
      </c>
      <c r="G4" s="3">
        <v>-7.93</v>
      </c>
    </row>
    <row r="5" spans="1:7">
      <c r="B5" s="3">
        <v>10.5</v>
      </c>
      <c r="C5" s="3">
        <v>-1.2</v>
      </c>
      <c r="D5" s="3">
        <v>2.1</v>
      </c>
      <c r="E5" s="3">
        <v>0.9</v>
      </c>
      <c r="G5" s="3">
        <v>5.19</v>
      </c>
    </row>
    <row r="6" spans="1:7">
      <c r="B6" s="3">
        <v>0.9</v>
      </c>
      <c r="C6" s="3">
        <v>2.5</v>
      </c>
      <c r="D6" s="3">
        <v>1.3</v>
      </c>
      <c r="E6" s="3">
        <v>12.1</v>
      </c>
      <c r="G6" s="3">
        <v>-1.09</v>
      </c>
    </row>
    <row r="7" spans="1:7">
      <c r="B7" s="3">
        <v>2.1</v>
      </c>
      <c r="C7" s="3">
        <v>1.5</v>
      </c>
      <c r="D7" s="3">
        <v>-9.8</v>
      </c>
      <c r="E7" s="3">
        <v>1.3</v>
      </c>
      <c r="G7" s="3">
        <v>25.24</v>
      </c>
    </row>
    <row r="10" ht="15.6" spans="1:7">
      <c r="A10" s="2" t="s">
        <v>3</v>
      </c>
      <c r="C10" s="7" cm="1">
        <f t="array" ref="C10">MDETERM(B4:E7)</f>
        <v>18809.1435</v>
      </c>
    </row>
    <row r="11" spans="1:7">
      <c r="A11" s="7" t="s">
        <v>4</v>
      </c>
    </row>
    <row r="13" ht="15.6" spans="1:7">
      <c r="A13" s="2" t="s">
        <v>5</v>
      </c>
    </row>
    <row r="14" spans="1:7">
      <c r="B14" s="11" cm="1">
        <f t="array" ref="B14">INDEX(MINVERSE($B$4:$E$7),1,1)</f>
        <v>-0.0072751319059265</v>
      </c>
      <c r="C14" s="11">
        <f>INDEX(MINVERSE($B$4:$E$7),1,2)</f>
        <v>0.093125399356967</v>
      </c>
      <c r="D14" s="11">
        <f>INDEX(MINVERSE($B$4:$E$7),1,3)</f>
        <v>-0.00734323708041251</v>
      </c>
      <c r="E14" s="11">
        <f>INDEX(MINVERSE($B$4:$E$7),1,4)</f>
        <v>0.0178677992434903</v>
      </c>
    </row>
    <row r="15" spans="1:7">
      <c r="B15" s="11">
        <f>INDEX(MINVERSE($B$4:$E$7),2,1)</f>
        <v>-0.0692931073655746</v>
      </c>
      <c r="C15" s="11">
        <f>INDEX(MINVERSE($B$4:$E$7),2,2)</f>
        <v>0.00807102141572794</v>
      </c>
      <c r="D15" s="11">
        <f>INDEX(MINVERSE($B$4:$E$7),2,3)</f>
        <v>0.0144639759912513</v>
      </c>
      <c r="E15" s="11">
        <f>INDEX(MINVERSE($B$4:$E$7),2,4)</f>
        <v>-0.00695789258027618</v>
      </c>
    </row>
    <row r="16" spans="1:7">
      <c r="B16" s="11">
        <f>INDEX(MINVERSE($B$4:$E$7),3,1)</f>
        <v>-0.0100508563826949</v>
      </c>
      <c r="C16" s="11">
        <f>INDEX(MINVERSE($B$4:$E$7),3,2)</f>
        <v>0.0197690022408516</v>
      </c>
      <c r="D16" s="11">
        <f>INDEX(MINVERSE($B$4:$E$7),3,3)</f>
        <v>0.0111209210562937</v>
      </c>
      <c r="E16" s="11">
        <f>INDEX(MINVERSE($B$4:$E$7),3,4)</f>
        <v>-0.0978677737239869</v>
      </c>
    </row>
    <row r="17" spans="1:5">
      <c r="B17" s="11">
        <f>INDEX(MINVERSE($B$4:$E$7),4,1)</f>
        <v>0.0159377273079978</v>
      </c>
      <c r="C17" s="11">
        <f>INDEX(MINVERSE($B$4:$E$7),4,2)</f>
        <v>-0.0107181913945204</v>
      </c>
      <c r="D17" s="11">
        <f>INDEX(MINVERSE($B$4:$E$7),4,3)</f>
        <v>0.079007584795129</v>
      </c>
      <c r="E17" s="11">
        <f>INDEX(MINVERSE($B$4:$E$7),4,4)</f>
        <v>0.0106232907415481</v>
      </c>
    </row>
    <row r="20" ht="15.6" spans="1:5">
      <c r="A20" s="2" t="s">
        <v>6</v>
      </c>
    </row>
    <row r="21" spans="1:5">
      <c r="A21" t="s">
        <v>7</v>
      </c>
      <c r="B21" s="12">
        <f>SUMPRODUCT(ABS(B4:B7))</f>
        <v>14.7</v>
      </c>
      <c r="C21" s="12">
        <f>SUMPRODUCT(ABS(C4:C7))</f>
        <v>19.4</v>
      </c>
      <c r="D21" s="12">
        <f>SUMPRODUCT(ABS(D4:D7))</f>
        <v>14.7</v>
      </c>
      <c r="E21" s="12">
        <f>SUMPRODUCT(ABS(E4:E7))</f>
        <v>16.8</v>
      </c>
    </row>
    <row r="22" ht="15.6" spans="1:5">
      <c r="A22" t="s">
        <v>8</v>
      </c>
      <c r="B22" s="2">
        <f>MAX(B21:E21)</f>
        <v>19.4</v>
      </c>
    </row>
    <row r="24" spans="1:5">
      <c r="A24" t="s">
        <v>9</v>
      </c>
      <c r="B24" s="13">
        <f>SUMPRODUCT(ABS(B14:B17))</f>
        <v>0.102556822962194</v>
      </c>
      <c r="C24" s="13">
        <f>SUMPRODUCT(ABS(C14:C17))</f>
        <v>0.131683614408067</v>
      </c>
      <c r="D24" s="13">
        <f>SUMPRODUCT(ABS(D14:D17))</f>
        <v>0.111935718923087</v>
      </c>
      <c r="E24" s="13">
        <f>SUMPRODUCT(ABS(E14:E17))</f>
        <v>0.133316756289302</v>
      </c>
    </row>
    <row r="25" ht="15.6" spans="1:5">
      <c r="A25" t="s">
        <v>10</v>
      </c>
      <c r="B25" s="5">
        <f>MAX(B24:E24)</f>
        <v>0.133316756289302</v>
      </c>
    </row>
    <row r="27" ht="15.6" spans="1:5">
      <c r="A27" s="2" t="s">
        <v>11</v>
      </c>
      <c r="C27" s="10">
        <f>B22*B25</f>
        <v>2.58634507201245</v>
      </c>
    </row>
    <row r="28" spans="1:5">
      <c r="A28" s="7" t="s">
        <v>12</v>
      </c>
    </row>
    <row r="30" ht="15.6" spans="1:5">
      <c r="A30" s="2" t="s">
        <v>13</v>
      </c>
    </row>
    <row r="31" ht="15.6" spans="1:5">
      <c r="B31" s="2" t="s">
        <v>14</v>
      </c>
      <c r="C31" s="2" t="s">
        <v>15</v>
      </c>
      <c r="D31" s="2" t="s">
        <v>16</v>
      </c>
      <c r="E31" s="2" t="s">
        <v>17</v>
      </c>
    </row>
    <row r="32" spans="1:5">
      <c r="B32" s="7">
        <v>1</v>
      </c>
      <c r="C32" s="7">
        <v>0.4</v>
      </c>
      <c r="D32" s="7">
        <v>-2.3</v>
      </c>
      <c r="E32" s="7">
        <v>0</v>
      </c>
    </row>
    <row r="34" spans="1:2">
      <c r="A34" t="s">
        <v>18</v>
      </c>
    </row>
    <row r="35" spans="1:2">
      <c r="B35" s="7">
        <f>SUMPRODUCT(B4:E4,$B$32:$E$32)</f>
        <v>-7.93</v>
      </c>
    </row>
    <row r="36" spans="1:2">
      <c r="B36" s="7">
        <f>SUMPRODUCT(B5:E5,$B$32:$E$32)</f>
        <v>5.19</v>
      </c>
    </row>
    <row r="37" spans="1:2">
      <c r="B37" s="7">
        <f>SUMPRODUCT(B6:E6,$B$32:$E$32)</f>
        <v>-1.09</v>
      </c>
    </row>
    <row r="38" spans="1:2">
      <c r="B38" s="7">
        <f>SUMPRODUCT(B7:E7,$B$32:$E$32)</f>
        <v>25.24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workbookViewId="0">
      <selection activeCell="A1" sqref="A1:G1"/>
    </sheetView>
  </sheetViews>
  <sheetFormatPr defaultColWidth="8.67592592592593" defaultRowHeight="14.4" outlineLevelCol="6"/>
  <cols>
    <col min="1" max="1" width="50" customWidth="1"/>
    <col min="2" max="7" width="14" customWidth="1"/>
  </cols>
  <sheetData>
    <row r="1" ht="17.4" spans="1:7">
      <c r="A1" s="1" t="s">
        <v>19</v>
      </c>
      <c r="B1" s="1"/>
      <c r="C1" s="1"/>
      <c r="D1" s="1"/>
      <c r="E1" s="1"/>
      <c r="F1" s="1"/>
      <c r="G1" s="1"/>
    </row>
    <row r="3" ht="15.6" spans="1:7">
      <c r="A3" s="2" t="s">
        <v>20</v>
      </c>
    </row>
    <row r="4" spans="1:7">
      <c r="B4" s="8">
        <v>1.2</v>
      </c>
      <c r="C4" s="8">
        <v>-14.2</v>
      </c>
      <c r="D4" s="8">
        <v>1.5</v>
      </c>
      <c r="E4" s="8">
        <v>2.5</v>
      </c>
      <c r="F4" s="8">
        <v>-7.93</v>
      </c>
    </row>
    <row r="5" spans="1:7">
      <c r="B5" s="8">
        <v>10.5</v>
      </c>
      <c r="C5" s="8">
        <v>-1.2</v>
      </c>
      <c r="D5" s="8">
        <v>2.1</v>
      </c>
      <c r="E5" s="8">
        <v>0.9</v>
      </c>
      <c r="F5" s="8">
        <v>5.19</v>
      </c>
    </row>
    <row r="6" spans="1:7">
      <c r="B6" s="8">
        <v>0.9</v>
      </c>
      <c r="C6" s="8">
        <v>2.5</v>
      </c>
      <c r="D6" s="8">
        <v>1.3</v>
      </c>
      <c r="E6" s="8">
        <v>12.1</v>
      </c>
      <c r="F6" s="8">
        <v>-1.09</v>
      </c>
    </row>
    <row r="7" spans="1:7">
      <c r="B7" s="8">
        <v>2.1</v>
      </c>
      <c r="C7" s="8">
        <v>1.5</v>
      </c>
      <c r="D7" s="8">
        <v>-9.8</v>
      </c>
      <c r="E7" s="8">
        <v>1.3</v>
      </c>
      <c r="F7" s="8">
        <v>25.24</v>
      </c>
    </row>
    <row r="10" ht="15.6" spans="1:7">
      <c r="A10" s="2" t="s">
        <v>21</v>
      </c>
    </row>
    <row r="11" spans="1:7">
      <c r="B11" s="8">
        <v>10.5</v>
      </c>
      <c r="C11" s="8">
        <v>-1.2</v>
      </c>
      <c r="D11" s="8">
        <v>2.1</v>
      </c>
      <c r="E11" s="8">
        <v>0.9</v>
      </c>
      <c r="F11" s="8">
        <v>5.19</v>
      </c>
    </row>
    <row r="12" spans="1:7">
      <c r="B12" s="8">
        <v>0</v>
      </c>
      <c r="C12" s="8">
        <v>-14.0628</v>
      </c>
      <c r="D12" s="8">
        <v>1.26</v>
      </c>
      <c r="E12" s="8">
        <v>2.3971</v>
      </c>
      <c r="F12" s="8">
        <v>-8.5232</v>
      </c>
    </row>
    <row r="13" spans="1:7">
      <c r="B13" s="8">
        <v>0</v>
      </c>
      <c r="C13" s="8">
        <v>2.6028</v>
      </c>
      <c r="D13" s="8">
        <v>1.12</v>
      </c>
      <c r="E13" s="8">
        <v>12.0229</v>
      </c>
      <c r="F13" s="8">
        <v>-1.5348</v>
      </c>
    </row>
    <row r="14" spans="1:7">
      <c r="B14" s="8">
        <v>0</v>
      </c>
      <c r="C14" s="8">
        <v>1.74</v>
      </c>
      <c r="D14" s="8">
        <v>-10.22</v>
      </c>
      <c r="E14" s="8">
        <v>1.12</v>
      </c>
      <c r="F14" s="8">
        <v>24.202</v>
      </c>
    </row>
    <row r="17" ht="15.6" spans="1:6">
      <c r="A17" s="2" t="s">
        <v>22</v>
      </c>
    </row>
    <row r="18" spans="1:6">
      <c r="B18" s="8">
        <v>10.5</v>
      </c>
      <c r="C18" s="8">
        <v>-1.2</v>
      </c>
      <c r="D18" s="8">
        <v>2.1</v>
      </c>
      <c r="E18" s="8">
        <v>0.9</v>
      </c>
      <c r="F18" s="8">
        <v>5.19</v>
      </c>
    </row>
    <row r="19" spans="1:6">
      <c r="B19" s="8">
        <v>0</v>
      </c>
      <c r="C19" s="8">
        <v>-14.0628</v>
      </c>
      <c r="D19" s="8">
        <v>1.26</v>
      </c>
      <c r="E19" s="8">
        <v>2.3971</v>
      </c>
      <c r="F19" s="8">
        <v>-8.5232</v>
      </c>
    </row>
    <row r="20" spans="1:6">
      <c r="B20" s="8">
        <v>0</v>
      </c>
      <c r="C20" s="8">
        <v>0</v>
      </c>
      <c r="D20" s="8">
        <v>1.3532</v>
      </c>
      <c r="E20" s="8">
        <v>12.4666</v>
      </c>
      <c r="F20" s="8">
        <v>-3.1124</v>
      </c>
    </row>
    <row r="21" spans="1:6">
      <c r="B21" s="8">
        <v>0</v>
      </c>
      <c r="C21" s="8">
        <v>0</v>
      </c>
      <c r="D21" s="8">
        <v>-10.0641</v>
      </c>
      <c r="E21" s="8">
        <v>1.4165</v>
      </c>
      <c r="F21" s="8">
        <v>23.1477</v>
      </c>
    </row>
    <row r="24" ht="15.6" spans="1:6">
      <c r="A24" s="2" t="s">
        <v>23</v>
      </c>
    </row>
    <row r="25" spans="1:6">
      <c r="B25" s="8">
        <v>10.5</v>
      </c>
      <c r="C25" s="8">
        <v>-1.2</v>
      </c>
      <c r="D25" s="8">
        <v>2.1</v>
      </c>
      <c r="E25" s="8">
        <v>0.9</v>
      </c>
      <c r="F25" s="8">
        <v>5.19</v>
      </c>
    </row>
    <row r="26" spans="1:6">
      <c r="B26" s="8">
        <v>0</v>
      </c>
      <c r="C26" s="8">
        <v>-14.0628</v>
      </c>
      <c r="D26" s="8">
        <v>1.26</v>
      </c>
      <c r="E26" s="8">
        <v>2.3971</v>
      </c>
      <c r="F26" s="8">
        <v>-8.5232</v>
      </c>
    </row>
    <row r="27" spans="1:6">
      <c r="B27" s="8">
        <v>0</v>
      </c>
      <c r="C27" s="8">
        <v>0</v>
      </c>
      <c r="D27" s="8">
        <v>-10.0641</v>
      </c>
      <c r="E27" s="8">
        <v>1.4165</v>
      </c>
      <c r="F27" s="8">
        <v>23.1477</v>
      </c>
    </row>
    <row r="28" spans="1:6">
      <c r="B28" s="8">
        <v>0</v>
      </c>
      <c r="C28" s="8">
        <v>0</v>
      </c>
      <c r="D28" s="8">
        <v>0</v>
      </c>
      <c r="E28" s="8">
        <v>12.6571</v>
      </c>
      <c r="F28" s="8">
        <v>0.001</v>
      </c>
    </row>
    <row r="31" ht="15.6" spans="1:6">
      <c r="A31" s="2" t="s">
        <v>24</v>
      </c>
    </row>
    <row r="32" spans="1:6">
      <c r="A32" t="s">
        <v>25</v>
      </c>
      <c r="C32" s="9">
        <f>0.001/12.6571</f>
        <v>7.90070395272219e-5</v>
      </c>
    </row>
    <row r="33" spans="1:5">
      <c r="A33" t="s">
        <v>26</v>
      </c>
      <c r="C33" s="9">
        <f>(23.1477-1.4165*C32)/(-10.0641)</f>
        <v>-2.3000157079648</v>
      </c>
    </row>
    <row r="34" spans="1:5">
      <c r="A34" t="s">
        <v>27</v>
      </c>
      <c r="C34" s="9">
        <f>(-8.5232-1.26*C33-2.3971*C32)/(-14.0628)</f>
        <v>0.400017748651677</v>
      </c>
    </row>
    <row r="35" spans="1:5">
      <c r="A35" t="s">
        <v>28</v>
      </c>
      <c r="C35" s="9">
        <f>(5.19+1.2*C34-2.1*C33-0.9*C32)/10.5</f>
        <v>0.999998397978334</v>
      </c>
    </row>
    <row r="37" ht="15.6" spans="1:5">
      <c r="A37" s="2" t="s">
        <v>29</v>
      </c>
    </row>
    <row r="38" ht="15.6" spans="1:5">
      <c r="B38" s="10">
        <f>C35</f>
        <v>0.999998397978334</v>
      </c>
      <c r="C38" s="10">
        <f>C34</f>
        <v>0.400017748651677</v>
      </c>
      <c r="D38" s="10">
        <f>C33</f>
        <v>-2.3000157079648</v>
      </c>
      <c r="E38" s="10">
        <f>C32</f>
        <v>7.90070395272219e-5</v>
      </c>
    </row>
    <row r="40" ht="15.6" spans="1:5">
      <c r="A40" s="2" t="s">
        <v>30</v>
      </c>
      <c r="C40" s="5">
        <f>ABS(1-B38)+ABS(0.4-C38)+ABS(-2.3-D38)+ABS(0-E38)</f>
        <v>0.000114065677667073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workbookViewId="0">
      <selection activeCell="A1" sqref="A1:G1"/>
    </sheetView>
  </sheetViews>
  <sheetFormatPr defaultColWidth="8.67592592592593" defaultRowHeight="14.4" outlineLevelCol="6"/>
  <cols>
    <col min="1" max="1" width="42" customWidth="1"/>
    <col min="2" max="7" width="14" customWidth="1"/>
  </cols>
  <sheetData>
    <row r="1" ht="17.4" spans="1:7">
      <c r="A1" s="1" t="s">
        <v>31</v>
      </c>
      <c r="B1" s="1"/>
      <c r="C1" s="1"/>
      <c r="D1" s="1"/>
      <c r="E1" s="1"/>
      <c r="F1" s="1"/>
      <c r="G1" s="1"/>
    </row>
    <row r="3" ht="15.6" spans="1:7">
      <c r="A3" s="2" t="s">
        <v>32</v>
      </c>
    </row>
    <row r="4" spans="1:7">
      <c r="B4" s="3">
        <v>10.5</v>
      </c>
      <c r="C4" s="3">
        <v>-1.2</v>
      </c>
      <c r="D4" s="3">
        <v>2.1</v>
      </c>
      <c r="E4" s="3">
        <v>0.9</v>
      </c>
      <c r="F4" s="3">
        <v>5.19</v>
      </c>
    </row>
    <row r="5" spans="1:7">
      <c r="B5" s="3">
        <v>1.2</v>
      </c>
      <c r="C5" s="3">
        <v>-14.2</v>
      </c>
      <c r="D5" s="3">
        <v>1.5</v>
      </c>
      <c r="E5" s="3">
        <v>2.5</v>
      </c>
      <c r="F5" s="3">
        <v>-7.93</v>
      </c>
    </row>
    <row r="6" spans="1:7">
      <c r="B6" s="3">
        <v>2.1</v>
      </c>
      <c r="C6" s="3">
        <v>1.5</v>
      </c>
      <c r="D6" s="3">
        <v>-9.8</v>
      </c>
      <c r="E6" s="3">
        <v>1.3</v>
      </c>
      <c r="F6" s="3">
        <v>25.24</v>
      </c>
    </row>
    <row r="7" spans="1:7">
      <c r="B7" s="3">
        <v>0.9</v>
      </c>
      <c r="C7" s="3">
        <v>2.5</v>
      </c>
      <c r="D7" s="3">
        <v>1.3</v>
      </c>
      <c r="E7" s="3">
        <v>12.1</v>
      </c>
      <c r="F7" s="3">
        <v>-1.09</v>
      </c>
    </row>
    <row r="9" ht="15.6" spans="1:7">
      <c r="A9" s="2" t="s">
        <v>33</v>
      </c>
      <c r="G9" s="2" t="s">
        <v>34</v>
      </c>
    </row>
    <row r="10" spans="1:7">
      <c r="B10" s="4">
        <v>0</v>
      </c>
      <c r="C10" s="4">
        <f>-C4/B4</f>
        <v>0.114285714285714</v>
      </c>
      <c r="D10" s="4">
        <f>-D4/B4</f>
        <v>-0.2</v>
      </c>
      <c r="E10" s="4">
        <f>-E4/B4</f>
        <v>-0.0857142857142857</v>
      </c>
      <c r="G10" s="4">
        <f>F4/B4</f>
        <v>0.494285714285714</v>
      </c>
    </row>
    <row r="11" spans="1:7">
      <c r="B11" s="4">
        <f>-B5/C5</f>
        <v>0.0845070422535211</v>
      </c>
      <c r="C11" s="4">
        <v>0</v>
      </c>
      <c r="D11" s="4">
        <f>-D5/C5</f>
        <v>0.105633802816901</v>
      </c>
      <c r="E11" s="4">
        <f>-E5/C5</f>
        <v>0.176056338028169</v>
      </c>
      <c r="G11" s="4">
        <f>F5/C5</f>
        <v>0.558450704225352</v>
      </c>
    </row>
    <row r="12" spans="1:7">
      <c r="B12" s="4">
        <f>-B6/D6</f>
        <v>0.214285714285714</v>
      </c>
      <c r="C12" s="4">
        <f>-C6/D6</f>
        <v>0.153061224489796</v>
      </c>
      <c r="D12" s="4">
        <v>0</v>
      </c>
      <c r="E12" s="4">
        <f>-E6/D6</f>
        <v>0.13265306122449</v>
      </c>
      <c r="G12" s="4">
        <f>F6/D6</f>
        <v>-2.57551020408163</v>
      </c>
    </row>
    <row r="13" spans="1:7">
      <c r="B13" s="4">
        <f>-B7/E7</f>
        <v>-0.0743801652892562</v>
      </c>
      <c r="C13" s="4">
        <f>-C7/E7</f>
        <v>-0.206611570247934</v>
      </c>
      <c r="D13" s="4">
        <f>-D7/E7</f>
        <v>-0.107438016528926</v>
      </c>
      <c r="E13" s="4">
        <v>0</v>
      </c>
      <c r="G13" s="4">
        <f>F7/E7</f>
        <v>-0.0900826446280992</v>
      </c>
    </row>
    <row r="16" ht="15.6" spans="1:7">
      <c r="A16" s="2" t="s">
        <v>35</v>
      </c>
      <c r="B16" s="4">
        <f>SUMPRODUCT(ABS(B10:B13))</f>
        <v>0.373172921828492</v>
      </c>
      <c r="C16" s="4">
        <f>SUMPRODUCT(ABS(C10:C13))</f>
        <v>0.473958509023444</v>
      </c>
      <c r="D16" s="4">
        <f>SUMPRODUCT(ABS(D10:D13))</f>
        <v>0.413071819345827</v>
      </c>
      <c r="E16" s="4">
        <f>SUMPRODUCT(ABS(E10:E13))</f>
        <v>0.394423684966945</v>
      </c>
    </row>
    <row r="17" ht="15.6" spans="1:6">
      <c r="A17" t="s">
        <v>36</v>
      </c>
      <c r="B17" s="5">
        <f>MAX(B16:E16)</f>
        <v>0.473958509023444</v>
      </c>
    </row>
    <row r="18" spans="1:6">
      <c r="A18" t="s">
        <v>37</v>
      </c>
    </row>
    <row r="20" ht="15.6" spans="1:6">
      <c r="A20" s="2" t="s">
        <v>38</v>
      </c>
    </row>
    <row r="22" ht="15.6" spans="1:6">
      <c r="A22" s="6" t="s">
        <v>39</v>
      </c>
      <c r="B22" s="6" t="s">
        <v>14</v>
      </c>
      <c r="C22" s="6" t="s">
        <v>15</v>
      </c>
      <c r="D22" s="6" t="s">
        <v>16</v>
      </c>
      <c r="E22" s="6" t="s">
        <v>17</v>
      </c>
      <c r="F22" s="6" t="s">
        <v>40</v>
      </c>
    </row>
    <row r="23" spans="1:6">
      <c r="A23" s="7">
        <v>0</v>
      </c>
      <c r="B23" s="4">
        <v>0</v>
      </c>
      <c r="C23" s="4">
        <v>0</v>
      </c>
      <c r="D23" s="4">
        <v>0</v>
      </c>
      <c r="E23" s="4">
        <v>0</v>
      </c>
    </row>
    <row r="24" spans="1:6">
      <c r="A24" s="7">
        <v>1</v>
      </c>
      <c r="B24" s="4">
        <f>SUMPRODUCT(B10:E10,B23:E23)+G10</f>
        <v>0.494285714285714</v>
      </c>
      <c r="C24" s="4">
        <f>SUMPRODUCT(B11:E11,B23:E23)+G11</f>
        <v>0.558450704225352</v>
      </c>
      <c r="D24" s="4">
        <f>SUMPRODUCT(B12:E12,B23:E23)+G12</f>
        <v>-2.57551020408163</v>
      </c>
      <c r="E24" s="4">
        <f>SUMPRODUCT(B13:E13,B23:E23)+G13</f>
        <v>-0.0900826446280992</v>
      </c>
      <c r="F24" s="4">
        <f t="shared" ref="F24:F31" si="0">ABS(B24-B23)+ABS(C24-C23)+ABS(D24-D23)+ABS(E24-E23)</f>
        <v>3.7183292672208</v>
      </c>
    </row>
    <row r="25" spans="1:6">
      <c r="A25" s="7">
        <v>2</v>
      </c>
      <c r="B25" s="4">
        <f>SUMPRODUCT(B10:E10,B24:E24)+G10</f>
        <v>1.08093206226735</v>
      </c>
      <c r="C25" s="4">
        <f>SUMPRODUCT(B11:E11,B24:E24)+G11</f>
        <v>0.312300770383814</v>
      </c>
      <c r="D25" s="4">
        <f>SUMPRODUCT(B12:E12,B24:E24)+G12</f>
        <v>-2.39606442670189</v>
      </c>
      <c r="E25" s="4">
        <f>SUMPRODUCT(B13:E13,B24:E24)+G13</f>
        <v>0.0344776332136858</v>
      </c>
      <c r="F25" s="4">
        <f t="shared" si="0"/>
        <v>1.1368023370447</v>
      </c>
    </row>
    <row r="26" spans="1:6">
      <c r="A26" s="7">
        <v>3</v>
      </c>
      <c r="B26" s="4">
        <f>SUMPRODUCT(B10:E10,B25:E25)+G10</f>
        <v>1.00623489053735</v>
      </c>
      <c r="C26" s="4">
        <f>SUMPRODUCT(B11:E11,B25:E25)+G11</f>
        <v>0.402761684345225</v>
      </c>
      <c r="D26" s="4">
        <f>SUMPRODUCT(B12:E12,B25:E25)+G12</f>
        <v>-2.29150720311072</v>
      </c>
      <c r="E26" s="4">
        <f>SUMPRODUCT(B13:E13,B25:E25)+G13</f>
        <v>0.0224209068357278</v>
      </c>
      <c r="F26" s="4">
        <f t="shared" si="0"/>
        <v>0.281772035660529</v>
      </c>
    </row>
    <row r="27" spans="1:6">
      <c r="A27" s="7">
        <v>4</v>
      </c>
      <c r="B27" s="4">
        <f>SUMPRODUCT(B10:E10,B26:E26)+G10</f>
        <v>0.996695269675679</v>
      </c>
      <c r="C27" s="4">
        <f>SUMPRODUCT(B11:E11,B26:E26)+G11</f>
        <v>0.405371361342821</v>
      </c>
      <c r="D27" s="4">
        <f>SUMPRODUCT(B12:E12,B26:E26)+G12</f>
        <v>-2.29526704331299</v>
      </c>
      <c r="E27" s="4">
        <f>SUMPRODUCT(B13:E13,B26:E26)+G13</f>
        <v>-0.00194679738039229</v>
      </c>
      <c r="F27" s="4">
        <f t="shared" si="0"/>
        <v>0.0402768422776585</v>
      </c>
    </row>
    <row r="28" spans="1:6">
      <c r="A28" s="7">
        <v>5</v>
      </c>
      <c r="B28" s="4">
        <f>SUMPRODUCT(B10:E10,B27:E27)+G10</f>
        <v>0.999834146877239</v>
      </c>
      <c r="C28" s="4">
        <f>SUMPRODUCT(B11:E11,B27:E27)+G11</f>
        <v>0.399877941210588</v>
      </c>
      <c r="D28" s="4">
        <f>SUMPRODUCT(B12:E12,B27:E27)+G12</f>
        <v>-2.30014425798585</v>
      </c>
      <c r="E28" s="4">
        <f>SUMPRODUCT(B13:E13,B27:E27)+G13</f>
        <v>-0.00137247849242002</v>
      </c>
      <c r="F28" s="4">
        <f t="shared" si="0"/>
        <v>0.0140838308946314</v>
      </c>
    </row>
    <row r="29" spans="1:6">
      <c r="A29" s="7">
        <v>6</v>
      </c>
      <c r="B29" s="4">
        <f>SUMPRODUCT(B10:E10,B28:E28)+G10</f>
        <v>1.00013254303487</v>
      </c>
      <c r="C29" s="4">
        <f>SUMPRODUCT(B11:E11,B28:E28)+G11</f>
        <v>0.399729112186117</v>
      </c>
      <c r="D29" s="4">
        <f>SUMPRODUCT(B12:E12,B28:E28)+G12</f>
        <v>-2.30023628589613</v>
      </c>
      <c r="E29" s="4">
        <f>SUMPRODUCT(B13:E13,B28:E28)+G13</f>
        <v>5.30537326960262e-5</v>
      </c>
      <c r="F29" s="4">
        <f t="shared" si="0"/>
        <v>0.00196478531749844</v>
      </c>
    </row>
    <row r="30" spans="1:6">
      <c r="A30" s="7">
        <v>7</v>
      </c>
      <c r="B30" s="4">
        <f>SUMPRODUCT(B10:E10,B29:E29)+G10</f>
        <v>1.00001175110912</v>
      </c>
      <c r="C30" s="4">
        <f>SUMPRODUCT(B11:E11,B29:E29)+G11</f>
        <v>0.399995581487986</v>
      </c>
      <c r="D30" s="4">
        <f>SUMPRODUCT(B12:E12,B29:E29)+G12</f>
        <v>-2.30000602260154</v>
      </c>
      <c r="E30" s="4">
        <f>SUMPRODUCT(B13:E13,B29:E29)+G13</f>
        <v>7.14960717593666e-5</v>
      </c>
      <c r="F30" s="4">
        <f t="shared" si="0"/>
        <v>0.000635966861273096</v>
      </c>
    </row>
    <row r="31" spans="1:6">
      <c r="A31" s="7">
        <v>8</v>
      </c>
      <c r="B31" s="4">
        <f>SUMPRODUCT(B10:E10,B30:E30)+G10</f>
        <v>0.999994571312784</v>
      </c>
      <c r="C31" s="4">
        <f>SUMPRODUCT(B11:E11,B30:E30)+G11</f>
        <v>0.400012944197749</v>
      </c>
      <c r="D31" s="4">
        <f>SUMPRODUCT(B12:E12,B30:E30)+G12</f>
        <v>-2.29998867403526</v>
      </c>
      <c r="E31" s="4">
        <f>SUMPRODUCT(B13:E13,B30:E30)+G13</f>
        <v>6.85922630319635e-7</v>
      </c>
      <c r="F31" s="4">
        <f t="shared" si="0"/>
        <v>0.000122701221506621</v>
      </c>
    </row>
    <row r="33" ht="15.6" spans="1:3">
      <c r="A33" s="2" t="s">
        <v>41</v>
      </c>
    </row>
    <row r="35" ht="15.6" spans="1:3">
      <c r="A35" s="2" t="s">
        <v>42</v>
      </c>
    </row>
    <row r="36" spans="1:3">
      <c r="A36" t="s">
        <v>43</v>
      </c>
      <c r="C36" s="4">
        <f>B17/(1-B17)*F30</f>
        <v>0.000573000249082538</v>
      </c>
    </row>
    <row r="38" ht="15.6" spans="1:3">
      <c r="A38" s="2" t="s">
        <v>44</v>
      </c>
      <c r="C38" s="4">
        <f>ABS(B30-1)+ABS(C30-0.4)+ABS(D30-(-2.3))+ABS(E30-0)</f>
        <v>9.36882944352208e-5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 Анализ системы</vt:lpstr>
      <vt:lpstr>2. Метод Гаусса</vt:lpstr>
      <vt:lpstr>3. Метод итерации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Вадим П</cp:lastModifiedBy>
  <cp:revision>0</cp:revision>
  <dcterms:created xsi:type="dcterms:W3CDTF">2026-05-06T17:33:00Z</dcterms:created>
  <dcterms:modified xsi:type="dcterms:W3CDTF">2026-05-14T14:20:01Z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D9E46ABA34FE4ED6AD01CFB24E5320B4_12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