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=0,02" sheetId="1" state="visible" r:id="rId1"/>
    <sheet xmlns:r="http://schemas.openxmlformats.org/officeDocument/2006/relationships" name="x=0,2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6">
    <font>
      <name val="Calibri"/>
      <family val="2"/>
      <color theme="1"/>
      <sz val="11"/>
      <scheme val="minor"/>
    </font>
    <font>
      <b val="1"/>
      <sz val="13"/>
    </font>
    <font>
      <i val="1"/>
    </font>
    <font>
      <b val="1"/>
    </font>
    <font>
      <b val="1"/>
      <color rgb="00FFFFFF"/>
    </font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Интерполяция по 4 узлам (x = 0,02)</a:t>
            </a:r>
          </a:p>
        </rich>
      </tx>
    </title>
    <plotArea>
      <scatterChart>
        <ser>
          <idx val="0"/>
          <order val="0"/>
          <tx>
            <v>y = f(x)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trendline>
            <trendlineType val="poly"/>
            <order val="3"/>
            <dispRSqr val="0"/>
            <dispEq val="1"/>
          </trendline>
          <xVal>
            <numRef>
              <f>'x=0,02'!$A$11:$A$14</f>
            </numRef>
          </xVal>
          <yVal>
            <numRef>
              <f>'x=0,02'!$B$11:$B$14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Интерполяция по 4 узлам (x = 0,29)</a:t>
            </a:r>
          </a:p>
        </rich>
      </tx>
    </title>
    <plotArea>
      <scatterChart>
        <ser>
          <idx val="0"/>
          <order val="0"/>
          <tx>
            <v>y = f(x)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trendline>
            <trendlineType val="poly"/>
            <order val="3"/>
            <dispRSqr val="0"/>
            <dispEq val="1"/>
          </trendline>
          <xVal>
            <numRef>
              <f>'x=0,29'!$A$11:$A$14</f>
            </numRef>
          </xVal>
          <yVal>
            <numRef>
              <f>'x=0,29'!$B$11:$B$14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19</row>
      <rowOff>0</rowOff>
    </from>
    <ext cx="61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19</row>
      <rowOff>0</rowOff>
    </from>
    <ext cx="61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Лабораторная работа 3. Задание 1.3. Вариант 21</t>
        </is>
      </c>
    </row>
    <row r="2">
      <c r="A2" s="2" t="inlineStr">
        <is>
          <t>Построение интерполяционного многочлена 3-й степени в Excel (для x = 0,02)</t>
        </is>
      </c>
    </row>
    <row r="4">
      <c r="A4" s="3" t="inlineStr">
        <is>
          <t>Исходная таблица функции y = f(x):</t>
        </is>
      </c>
    </row>
    <row r="5">
      <c r="A5" s="4" t="inlineStr">
        <is>
          <t>i</t>
        </is>
      </c>
      <c r="B5" s="5" t="n">
        <v>0</v>
      </c>
      <c r="C5" s="5" t="n">
        <v>1</v>
      </c>
      <c r="D5" s="5" t="n">
        <v>2</v>
      </c>
      <c r="E5" s="5" t="n">
        <v>3</v>
      </c>
      <c r="F5" s="5" t="n">
        <v>4</v>
      </c>
      <c r="G5" s="5" t="n">
        <v>5</v>
      </c>
      <c r="H5" s="5" t="n">
        <v>6</v>
      </c>
      <c r="I5" s="5" t="n">
        <v>7</v>
      </c>
    </row>
    <row r="6">
      <c r="A6" s="4" t="inlineStr">
        <is>
          <t>x</t>
        </is>
      </c>
      <c r="B6" s="6" t="n">
        <v>0</v>
      </c>
      <c r="C6" s="6" t="n">
        <v>0.05</v>
      </c>
      <c r="D6" s="6" t="n">
        <v>0.1</v>
      </c>
      <c r="E6" s="6" t="n">
        <v>0.15</v>
      </c>
      <c r="F6" s="6" t="n">
        <v>0.2</v>
      </c>
      <c r="G6" s="6" t="n">
        <v>0.25</v>
      </c>
      <c r="H6" s="6" t="n">
        <v>0.3</v>
      </c>
      <c r="I6" s="6" t="n">
        <v>0.35</v>
      </c>
    </row>
    <row r="7">
      <c r="A7" s="4" t="inlineStr">
        <is>
          <t>y</t>
        </is>
      </c>
      <c r="B7" s="7" t="n">
        <v>0.2808</v>
      </c>
      <c r="C7" s="7" t="n">
        <v>0.3127</v>
      </c>
      <c r="D7" s="7" t="n">
        <v>0.3454</v>
      </c>
      <c r="E7" s="7" t="n">
        <v>0.3791</v>
      </c>
      <c r="F7" s="7" t="n">
        <v>0.4131</v>
      </c>
      <c r="G7" s="7" t="n">
        <v>0.4477</v>
      </c>
      <c r="H7" s="7" t="n">
        <v>0.4825</v>
      </c>
      <c r="I7" s="7" t="n">
        <v>0.5174</v>
      </c>
    </row>
    <row r="9">
      <c r="A9" s="3" t="inlineStr">
        <is>
          <t>Выбраны 4 узла так, чтобы x = 0,02 был внутренней точкой:</t>
        </is>
      </c>
    </row>
    <row r="10">
      <c r="A10" s="4" t="inlineStr">
        <is>
          <t>x</t>
        </is>
      </c>
      <c r="B10" s="4" t="inlineStr">
        <is>
          <t>y</t>
        </is>
      </c>
      <c r="D10" s="3" t="inlineStr">
        <is>
          <t>Коэффициенты полинома 3-й степени (через ЛИНЕЙН):</t>
        </is>
      </c>
    </row>
    <row r="11">
      <c r="A11" s="6" t="n">
        <v>0</v>
      </c>
      <c r="B11" s="7" t="n">
        <v>0.2808</v>
      </c>
      <c r="D11" s="4" t="inlineStr">
        <is>
          <t>a3</t>
        </is>
      </c>
      <c r="E11" s="4" t="inlineStr">
        <is>
          <t>a2</t>
        </is>
      </c>
      <c r="F11" s="4" t="inlineStr">
        <is>
          <t>a1</t>
        </is>
      </c>
      <c r="G11" s="4" t="inlineStr">
        <is>
          <t>a0</t>
        </is>
      </c>
    </row>
    <row r="12">
      <c r="A12" s="6" t="n">
        <v>0.05</v>
      </c>
      <c r="B12" s="7" t="n">
        <v>0.3127</v>
      </c>
      <c r="D12" s="8">
        <f>INDEX(LINEST(B11:B14,A11:A14^{1,2,3}),1,1)</f>
        <v/>
      </c>
      <c r="E12" s="8">
        <f>INDEX(LINEST(B11:B14,A11:A14^{1,2,3}),1,2)</f>
        <v/>
      </c>
      <c r="F12" s="8">
        <f>INDEX(LINEST(B11:B14,A11:A14^{1,2,3}),1,3)</f>
        <v/>
      </c>
      <c r="G12" s="8">
        <f>INDEX(LINEST(B11:B14,A11:A14^{1,2,3}),1,4)</f>
        <v/>
      </c>
    </row>
    <row r="13">
      <c r="A13" s="6" t="n">
        <v>0.1</v>
      </c>
      <c r="B13" s="7" t="n">
        <v>0.3454</v>
      </c>
    </row>
    <row r="14">
      <c r="A14" s="6" t="n">
        <v>0.15</v>
      </c>
      <c r="B14" s="7" t="n">
        <v>0.3791</v>
      </c>
    </row>
    <row r="16">
      <c r="A16" s="3" t="inlineStr">
        <is>
          <t>Вычисление значения функции при x = 0,02:</t>
        </is>
      </c>
    </row>
    <row r="17">
      <c r="A17" s="3" t="inlineStr">
        <is>
          <t>x =</t>
        </is>
      </c>
      <c r="B17" s="9" t="n">
        <v>0.02</v>
      </c>
      <c r="D17" s="3" t="inlineStr">
        <is>
          <t>Формула:</t>
        </is>
      </c>
      <c r="E17" t="inlineStr">
        <is>
          <t>y = a3·x³ + a2·x² + a1·x + a0</t>
        </is>
      </c>
    </row>
    <row r="18">
      <c r="A18" s="3" t="inlineStr">
        <is>
          <t>y(x) =</t>
        </is>
      </c>
      <c r="B18" s="10">
        <f>D12*B17^3+E12*B17^2+F12*B17+G12</f>
        <v/>
      </c>
    </row>
  </sheetData>
  <mergeCells count="7">
    <mergeCell ref="A2:F2"/>
    <mergeCell ref="A16:F16"/>
    <mergeCell ref="E17:H17"/>
    <mergeCell ref="D10:H10"/>
    <mergeCell ref="A1:F1"/>
    <mergeCell ref="A9:F9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Лабораторная работа 3. Задание 1.3. Вариант 21</t>
        </is>
      </c>
    </row>
    <row r="2">
      <c r="A2" s="2" t="inlineStr">
        <is>
          <t>Построение интерполяционного многочлена 3-й степени в Excel (для x = 0,29)</t>
        </is>
      </c>
    </row>
    <row r="4">
      <c r="A4" s="3" t="inlineStr">
        <is>
          <t>Исходная таблица функции y = f(x):</t>
        </is>
      </c>
    </row>
    <row r="5">
      <c r="A5" s="4" t="inlineStr">
        <is>
          <t>i</t>
        </is>
      </c>
      <c r="B5" s="5" t="n">
        <v>0</v>
      </c>
      <c r="C5" s="5" t="n">
        <v>1</v>
      </c>
      <c r="D5" s="5" t="n">
        <v>2</v>
      </c>
      <c r="E5" s="5" t="n">
        <v>3</v>
      </c>
      <c r="F5" s="5" t="n">
        <v>4</v>
      </c>
      <c r="G5" s="5" t="n">
        <v>5</v>
      </c>
      <c r="H5" s="5" t="n">
        <v>6</v>
      </c>
      <c r="I5" s="5" t="n">
        <v>7</v>
      </c>
    </row>
    <row r="6">
      <c r="A6" s="4" t="inlineStr">
        <is>
          <t>x</t>
        </is>
      </c>
      <c r="B6" s="6" t="n">
        <v>0</v>
      </c>
      <c r="C6" s="6" t="n">
        <v>0.05</v>
      </c>
      <c r="D6" s="6" t="n">
        <v>0.1</v>
      </c>
      <c r="E6" s="6" t="n">
        <v>0.15</v>
      </c>
      <c r="F6" s="6" t="n">
        <v>0.2</v>
      </c>
      <c r="G6" s="6" t="n">
        <v>0.25</v>
      </c>
      <c r="H6" s="6" t="n">
        <v>0.3</v>
      </c>
      <c r="I6" s="6" t="n">
        <v>0.35</v>
      </c>
    </row>
    <row r="7">
      <c r="A7" s="4" t="inlineStr">
        <is>
          <t>y</t>
        </is>
      </c>
      <c r="B7" s="7" t="n">
        <v>0.2808</v>
      </c>
      <c r="C7" s="7" t="n">
        <v>0.3127</v>
      </c>
      <c r="D7" s="7" t="n">
        <v>0.3454</v>
      </c>
      <c r="E7" s="7" t="n">
        <v>0.3791</v>
      </c>
      <c r="F7" s="7" t="n">
        <v>0.4131</v>
      </c>
      <c r="G7" s="7" t="n">
        <v>0.4477</v>
      </c>
      <c r="H7" s="7" t="n">
        <v>0.4825</v>
      </c>
      <c r="I7" s="7" t="n">
        <v>0.5174</v>
      </c>
    </row>
    <row r="9">
      <c r="A9" s="3" t="inlineStr">
        <is>
          <t>Выбраны 4 узла так, чтобы x = 0,29 был внутренней точкой:</t>
        </is>
      </c>
    </row>
    <row r="10">
      <c r="A10" s="4" t="inlineStr">
        <is>
          <t>x</t>
        </is>
      </c>
      <c r="B10" s="4" t="inlineStr">
        <is>
          <t>y</t>
        </is>
      </c>
      <c r="D10" s="3" t="inlineStr">
        <is>
          <t>Коэффициенты полинома 3-й степени (через ЛИНЕЙН):</t>
        </is>
      </c>
    </row>
    <row r="11">
      <c r="A11" s="6" t="n">
        <v>0.2</v>
      </c>
      <c r="B11" s="7" t="n">
        <v>0.4131</v>
      </c>
      <c r="D11" s="4" t="inlineStr">
        <is>
          <t>a3</t>
        </is>
      </c>
      <c r="E11" s="4" t="inlineStr">
        <is>
          <t>a2</t>
        </is>
      </c>
      <c r="F11" s="4" t="inlineStr">
        <is>
          <t>a1</t>
        </is>
      </c>
      <c r="G11" s="4" t="inlineStr">
        <is>
          <t>a0</t>
        </is>
      </c>
    </row>
    <row r="12">
      <c r="A12" s="6" t="n">
        <v>0.25</v>
      </c>
      <c r="B12" s="7" t="n">
        <v>0.4477</v>
      </c>
      <c r="D12" s="8">
        <f>INDEX(LINEST(B11:B14,A11:A14^{1,2,3}),1,1)</f>
        <v/>
      </c>
      <c r="E12" s="8">
        <f>INDEX(LINEST(B11:B14,A11:A14^{1,2,3}),1,2)</f>
        <v/>
      </c>
      <c r="F12" s="8">
        <f>INDEX(LINEST(B11:B14,A11:A14^{1,2,3}),1,3)</f>
        <v/>
      </c>
      <c r="G12" s="8">
        <f>INDEX(LINEST(B11:B14,A11:A14^{1,2,3}),1,4)</f>
        <v/>
      </c>
    </row>
    <row r="13">
      <c r="A13" s="6" t="n">
        <v>0.3</v>
      </c>
      <c r="B13" s="7" t="n">
        <v>0.4825</v>
      </c>
    </row>
    <row r="14">
      <c r="A14" s="6" t="n">
        <v>0.35</v>
      </c>
      <c r="B14" s="7" t="n">
        <v>0.5174</v>
      </c>
    </row>
    <row r="16">
      <c r="A16" s="3" t="inlineStr">
        <is>
          <t>Вычисление значения функции при x = 0,29:</t>
        </is>
      </c>
    </row>
    <row r="17">
      <c r="A17" s="3" t="inlineStr">
        <is>
          <t>x =</t>
        </is>
      </c>
      <c r="B17" s="9" t="n">
        <v>0.29</v>
      </c>
      <c r="D17" s="3" t="inlineStr">
        <is>
          <t>Формула:</t>
        </is>
      </c>
      <c r="E17" t="inlineStr">
        <is>
          <t>y = a3·x³ + a2·x² + a1·x + a0</t>
        </is>
      </c>
    </row>
    <row r="18">
      <c r="A18" s="3" t="inlineStr">
        <is>
          <t>y(x) =</t>
        </is>
      </c>
      <c r="B18" s="10">
        <f>D12*B17^3+E12*B17^2+F12*B17+G12</f>
        <v/>
      </c>
    </row>
  </sheetData>
  <mergeCells count="7">
    <mergeCell ref="A2:F2"/>
    <mergeCell ref="A16:F16"/>
    <mergeCell ref="E17:H17"/>
    <mergeCell ref="D10:H10"/>
    <mergeCell ref="A1:F1"/>
    <mergeCell ref="A9:F9"/>
    <mergeCell ref="A4:F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2026-05-28T08:12:49Z</dcterms:created>
  <dcterms:modified xmlns:dcterms="http://purl.org/dc/terms/" xmlns:xsi="http://www.w3.org/2001/XMLSchema-instance" xsi:type="dcterms:W3CDTF">2026-05-28T08:13:28Z</dcterms:modified>
</cp:coreProperties>
</file>